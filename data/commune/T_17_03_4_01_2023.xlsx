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23\"/>
    </mc:Choice>
  </mc:AlternateContent>
  <xr:revisionPtr revIDLastSave="0" documentId="8_{65D2E8E0-E971-4EFD-B601-86959DB243EE}" xr6:coauthVersionLast="47" xr6:coauthVersionMax="47" xr10:uidLastSave="{00000000-0000-0000-0000-000000000000}"/>
  <bookViews>
    <workbookView xWindow="-120" yWindow="-120" windowWidth="29040" windowHeight="15720" xr2:uid="{22108937-58D2-4FF7-B755-1BCDD595400E}"/>
  </bookViews>
  <sheets>
    <sheet name="18_juin_2023" sheetId="23" r:id="rId1"/>
    <sheet name="12_mars_2023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3" l="1"/>
  <c r="M16" i="23"/>
  <c r="N16" i="23"/>
  <c r="L17" i="23"/>
  <c r="M17" i="23"/>
  <c r="N17" i="23"/>
  <c r="L18" i="23"/>
  <c r="M18" i="23"/>
  <c r="N18" i="23"/>
  <c r="L19" i="23"/>
  <c r="M19" i="23"/>
  <c r="N19" i="23"/>
  <c r="L20" i="23"/>
  <c r="M20" i="23"/>
  <c r="N20" i="23"/>
  <c r="L21" i="23"/>
  <c r="M21" i="23"/>
  <c r="N21" i="23"/>
  <c r="L22" i="23"/>
  <c r="M22" i="23"/>
  <c r="N22" i="23"/>
  <c r="L23" i="23"/>
  <c r="M23" i="23"/>
  <c r="N23" i="23"/>
  <c r="L24" i="23"/>
  <c r="M24" i="23"/>
  <c r="N24" i="23"/>
  <c r="L25" i="23"/>
  <c r="M25" i="23"/>
  <c r="N25" i="23"/>
  <c r="L26" i="23"/>
  <c r="M26" i="23"/>
  <c r="N26" i="23"/>
  <c r="L27" i="23"/>
  <c r="M27" i="23"/>
  <c r="N27" i="23"/>
  <c r="L28" i="23"/>
  <c r="M28" i="23"/>
  <c r="N28" i="23"/>
  <c r="L29" i="23"/>
  <c r="M29" i="23"/>
  <c r="N29" i="23"/>
  <c r="L30" i="23"/>
  <c r="M30" i="23"/>
  <c r="N30" i="23"/>
  <c r="L31" i="23"/>
  <c r="M31" i="23"/>
  <c r="N31" i="23"/>
  <c r="L32" i="23"/>
  <c r="M32" i="23"/>
  <c r="N32" i="23"/>
  <c r="L33" i="23"/>
  <c r="M33" i="23"/>
  <c r="N33" i="23"/>
  <c r="L34" i="23"/>
  <c r="M34" i="23"/>
  <c r="N34" i="23"/>
  <c r="L35" i="23"/>
  <c r="M35" i="23"/>
  <c r="N35" i="23"/>
  <c r="L36" i="23"/>
  <c r="M36" i="23"/>
  <c r="N36" i="23"/>
  <c r="L37" i="23"/>
  <c r="M37" i="23"/>
  <c r="N37" i="23"/>
  <c r="L38" i="23"/>
  <c r="M38" i="23"/>
  <c r="N38" i="23"/>
  <c r="L39" i="23"/>
  <c r="M39" i="23"/>
  <c r="N39" i="23"/>
  <c r="L40" i="23"/>
  <c r="M40" i="23"/>
  <c r="N40" i="23"/>
  <c r="L41" i="23"/>
  <c r="M41" i="23"/>
  <c r="N41" i="23"/>
  <c r="L42" i="23"/>
  <c r="M42" i="23"/>
  <c r="N42" i="23"/>
  <c r="L43" i="23"/>
  <c r="M43" i="23"/>
  <c r="N43" i="23"/>
  <c r="L44" i="23"/>
  <c r="M44" i="23"/>
  <c r="N44" i="23"/>
  <c r="L45" i="23"/>
  <c r="M45" i="23"/>
  <c r="N45" i="23"/>
  <c r="L46" i="23"/>
  <c r="M46" i="23"/>
  <c r="N46" i="23"/>
  <c r="L47" i="23"/>
  <c r="M47" i="23"/>
  <c r="N47" i="23"/>
  <c r="L48" i="23"/>
  <c r="M48" i="23"/>
  <c r="N48" i="23"/>
  <c r="L49" i="23"/>
  <c r="M49" i="23"/>
  <c r="N49" i="23"/>
  <c r="L50" i="23"/>
  <c r="M50" i="23"/>
  <c r="N50" i="23"/>
  <c r="L51" i="23"/>
  <c r="M51" i="23"/>
  <c r="N51" i="23"/>
  <c r="L52" i="23"/>
  <c r="M52" i="23"/>
  <c r="N52" i="23"/>
  <c r="L53" i="23"/>
  <c r="M53" i="23"/>
  <c r="N53" i="23"/>
  <c r="L54" i="23"/>
  <c r="M54" i="23"/>
  <c r="N54" i="23"/>
  <c r="L55" i="23"/>
  <c r="M55" i="23"/>
  <c r="N55" i="23"/>
  <c r="L56" i="23"/>
  <c r="M56" i="23"/>
  <c r="N56" i="23"/>
  <c r="L57" i="23"/>
  <c r="M57" i="23"/>
  <c r="N57" i="23"/>
  <c r="L58" i="23"/>
  <c r="M58" i="23"/>
  <c r="N58" i="23"/>
  <c r="L59" i="23"/>
  <c r="M59" i="23"/>
  <c r="N59" i="23"/>
  <c r="L60" i="23"/>
  <c r="M60" i="23"/>
  <c r="N60" i="23"/>
  <c r="L61" i="23"/>
  <c r="M61" i="23"/>
  <c r="N61" i="23"/>
  <c r="L62" i="23"/>
  <c r="M62" i="23"/>
  <c r="N62" i="23"/>
  <c r="M15" i="23"/>
  <c r="N15" i="23"/>
  <c r="L15" i="23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15" i="22"/>
</calcChain>
</file>

<file path=xl/sharedStrings.xml><?xml version="1.0" encoding="utf-8"?>
<sst xmlns="http://schemas.openxmlformats.org/spreadsheetml/2006/main" count="162" uniqueCount="68">
  <si>
    <t>Office cantonal de la statistique - OCSTAT</t>
  </si>
  <si>
    <t>Canton de Genève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</si>
  <si>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</si>
  <si>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</si>
  <si>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</si>
  <si>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</si>
  <si>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</si>
  <si>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</si>
  <si>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</si>
  <si>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</si>
  <si>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</si>
  <si>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</si>
  <si>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</si>
  <si>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</si>
  <si>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</si>
  <si>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</si>
  <si>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</si>
  <si>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</si>
  <si>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</si>
  <si>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</si>
  <si>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</si>
  <si>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</si>
  <si>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</si>
  <si>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</si>
  <si>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</si>
  <si>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</si>
  <si>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</si>
  <si>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</si>
  <si>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</si>
  <si>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</si>
  <si>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</si>
  <si>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</si>
  <si>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</si>
  <si>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</si>
  <si>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</si>
  <si>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</si>
  <si>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</si>
  <si>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</si>
  <si>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</si>
  <si>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</si>
  <si>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</si>
  <si>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</si>
  <si>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</si>
  <si>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</si>
  <si>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</si>
  <si>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</si>
  <si>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</si>
  <si>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</si>
  <si>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</si>
  <si>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</si>
  <si>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</si>
  <si>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</si>
  <si>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</si>
  <si>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</si>
  <si>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</si>
  <si>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</si>
  <si>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</si>
  <si>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</si>
  <si>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Electeurs, votants et taux de participation selon le sexe, par commune,</t>
  </si>
  <si>
    <t>Electeurs</t>
  </si>
  <si>
    <t>(1) La répartition des électeurs par commune diffusée par l'OCSTAT peut très légèrement différer de celle publiée le jour du scrutin par la Chancellerie d'Etat, l'OCSTAT</t>
  </si>
  <si>
    <t xml:space="preserve">      ayant eu le temps d'intégrer des modifications du lieu de résidence de certains électeurs intervenues juste avant la date du vote.</t>
  </si>
  <si>
    <t>en 2023</t>
  </si>
  <si>
    <t>T 17.03.4.01-2023</t>
  </si>
  <si>
    <t>Scrutin du 12 mars 2023</t>
  </si>
  <si>
    <t>Date de mise à jour : 27.03.2023</t>
  </si>
  <si>
    <t>Scrutin du 18 juin 2023</t>
  </si>
  <si>
    <t>Date de mise à jour : 04.07.2023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</si>
</sst>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#\ ##0"/>
    <numFmt numFmtId="168" formatCode="0\,0"/>
    <numFmt numFmtId="169" formatCode="0.0"/>
    <numFmt numFmtId="170" formatCode="#,##0;\-#,##0;\-;"/>
    <numFmt numFmtId="171" formatCode="##.0;\-##.0;&quot;-&quot;;\-"/>
  </numFmts>
  <fonts count="40" x14ac:knownFonts="1">
    <font>
      <sz val="8"/>
      <name val="Arial Narrow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0" fillId="2" borderId="0" applyNumberFormat="0" applyBorder="0" applyAlignment="0" applyProtection="0"/>
    <xf numFmtId="0" fontId="11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0" borderId="0" applyNumberFormat="0" applyBorder="0" applyAlignment="0" applyProtection="0"/>
    <xf numFmtId="0" fontId="12" fillId="21" borderId="0" applyNumberFormat="0" applyBorder="0" applyAlignment="0" applyProtection="0"/>
    <xf numFmtId="0" fontId="13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26" borderId="3" applyNumberFormat="0" applyAlignment="0" applyProtection="0"/>
    <xf numFmtId="0" fontId="17" fillId="26" borderId="3" applyNumberFormat="0" applyAlignment="0" applyProtection="0"/>
    <xf numFmtId="0" fontId="18" fillId="0" borderId="4" applyNumberFormat="0" applyFill="0" applyAlignment="0" applyProtection="0"/>
    <xf numFmtId="0" fontId="19" fillId="0" borderId="4" applyNumberFormat="0" applyFill="0" applyAlignment="0" applyProtection="0"/>
    <xf numFmtId="0" fontId="11" fillId="27" borderId="5" applyNumberFormat="0" applyFont="0" applyAlignment="0" applyProtection="0"/>
    <xf numFmtId="0" fontId="20" fillId="28" borderId="3" applyNumberFormat="0" applyAlignment="0" applyProtection="0"/>
    <xf numFmtId="0" fontId="21" fillId="28" borderId="3" applyNumberFormat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30" borderId="0" applyNumberFormat="0" applyBorder="0" applyAlignment="0" applyProtection="0"/>
    <xf numFmtId="0" fontId="9" fillId="0" borderId="0"/>
    <xf numFmtId="0" fontId="26" fillId="31" borderId="0" applyNumberFormat="0" applyBorder="0" applyAlignment="0" applyProtection="0"/>
    <xf numFmtId="0" fontId="27" fillId="31" borderId="0" applyNumberFormat="0" applyBorder="0" applyAlignment="0" applyProtection="0"/>
    <xf numFmtId="0" fontId="28" fillId="26" borderId="6" applyNumberFormat="0" applyAlignment="0" applyProtection="0"/>
    <xf numFmtId="0" fontId="29" fillId="26" borderId="6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5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0" borderId="10" applyNumberFormat="0" applyFill="0" applyAlignment="0" applyProtection="0"/>
    <xf numFmtId="0" fontId="38" fillId="32" borderId="11" applyNumberFormat="0" applyAlignment="0" applyProtection="0"/>
    <xf numFmtId="0" fontId="39" fillId="32" borderId="11" applyNumberFormat="0" applyAlignment="0" applyProtection="0"/>
  </cellStyleXfs>
  <cellXfs count="64">
    <xf numFmtId="0" fontId="0" fillId="0" borderId="0" xfId="0"/>
    <xf numFmtId="169" fontId="0" fillId="0" borderId="0" xfId="0" applyNumberFormat="1"/>
    <xf numFmtId="0" fontId="0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9" fontId="0" fillId="0" borderId="0" xfId="0" applyNumberFormat="1" applyBorder="1"/>
    <xf numFmtId="0" fontId="0" fillId="0" borderId="0" xfId="0" applyFont="1" applyBorder="1"/>
    <xf numFmtId="0" fontId="0" fillId="0" borderId="12" xfId="0" applyBorder="1"/>
    <xf numFmtId="169" fontId="0" fillId="0" borderId="12" xfId="0" applyNumberFormat="1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7" fontId="0" fillId="0" borderId="0" xfId="0" applyNumberFormat="1" applyFont="1" applyAlignment="1" applyProtection="1">
      <alignment horizontal="right"/>
      <protection locked="0"/>
    </xf>
    <xf numFmtId="169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9" fontId="4" fillId="0" borderId="0" xfId="0" applyNumberFormat="1" applyFont="1"/>
    <xf numFmtId="167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7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7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7" fontId="0" fillId="0" borderId="2" xfId="0" applyNumberFormat="1" applyFont="1" applyBorder="1" applyAlignment="1" applyProtection="1">
      <alignment horizontal="right"/>
      <protection locked="0"/>
    </xf>
    <xf numFmtId="169" fontId="0" fillId="0" borderId="2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Protection="1">
      <protection locked="0"/>
    </xf>
    <xf numFmtId="169" fontId="0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Border="1" applyAlignment="1" applyProtection="1">
      <alignment horizontal="right"/>
      <protection locked="0"/>
    </xf>
    <xf numFmtId="169" fontId="0" fillId="0" borderId="1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Border="1" applyProtection="1">
      <protection locked="0"/>
    </xf>
    <xf numFmtId="0" fontId="2" fillId="0" borderId="0" xfId="0" applyFont="1"/>
    <xf numFmtId="167" fontId="2" fillId="0" borderId="0" xfId="0" applyNumberFormat="1" applyFont="1" applyProtection="1">
      <protection locked="0"/>
    </xf>
    <xf numFmtId="0" fontId="5" fillId="0" borderId="0" xfId="0" applyFont="1"/>
    <xf numFmtId="167" fontId="5" fillId="0" borderId="0" xfId="0" applyNumberFormat="1" applyFont="1" applyProtection="1">
      <protection locked="0"/>
    </xf>
    <xf numFmtId="169" fontId="0" fillId="0" borderId="0" xfId="0" applyNumberFormat="1" applyFont="1" applyProtection="1">
      <protection locked="0"/>
    </xf>
    <xf numFmtId="3" fontId="6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8" fontId="0" fillId="0" borderId="0" xfId="0" applyNumberFormat="1" applyFont="1" applyProtection="1">
      <protection locked="0"/>
    </xf>
    <xf numFmtId="169" fontId="0" fillId="0" borderId="1" xfId="0" applyNumberFormat="1" applyFont="1" applyBorder="1" applyProtection="1">
      <protection locked="0"/>
    </xf>
    <xf numFmtId="169" fontId="2" fillId="0" borderId="0" xfId="0" applyNumberFormat="1" applyFont="1" applyBorder="1" applyAlignment="1" applyProtection="1">
      <alignment horizontal="right"/>
      <protection locked="0"/>
    </xf>
    <xf numFmtId="170" fontId="0" fillId="0" borderId="0" xfId="0" applyNumberFormat="1" applyFont="1" applyAlignment="1" applyProtection="1">
      <alignment horizontal="right"/>
      <protection locked="0"/>
    </xf>
    <xf numFmtId="170" fontId="5" fillId="0" borderId="0" xfId="0" applyNumberFormat="1" applyFont="1" applyAlignment="1" applyProtection="1">
      <alignment horizontal="right"/>
      <protection locked="0"/>
    </xf>
    <xf numFmtId="171" fontId="5" fillId="0" borderId="0" xfId="0" applyNumberFormat="1" applyFont="1"/>
    <xf numFmtId="171" fontId="5" fillId="0" borderId="0" xfId="0" applyNumberFormat="1" applyFont="1" applyAlignment="1" applyProtection="1">
      <alignment horizontal="right"/>
      <protection locked="0"/>
    </xf>
    <xf numFmtId="170" fontId="5" fillId="0" borderId="0" xfId="0" applyNumberFormat="1" applyFont="1"/>
    <xf numFmtId="167" fontId="5" fillId="0" borderId="0" xfId="0" applyNumberFormat="1" applyFont="1" applyAlignment="1" applyProtection="1">
      <alignment horizontal="right"/>
      <protection locked="0"/>
    </xf>
    <xf numFmtId="170" fontId="0" fillId="0" borderId="0" xfId="0" applyNumberFormat="1" applyFill="1"/>
    <xf numFmtId="170" fontId="0" fillId="0" borderId="0" xfId="0" applyNumberFormat="1" applyFont="1" applyFill="1" applyAlignment="1" applyProtection="1">
      <alignment horizontal="right"/>
      <protection locked="0"/>
    </xf>
    <xf numFmtId="170" fontId="5" fillId="0" borderId="0" xfId="0" applyNumberFormat="1" applyFont="1" applyFill="1"/>
    <xf numFmtId="170" fontId="5" fillId="0" borderId="0" xfId="0" applyNumberFormat="1" applyFont="1" applyFill="1" applyAlignment="1" applyProtection="1">
      <alignment horizontal="right"/>
      <protection locked="0"/>
    </xf>
    <xf numFmtId="170" fontId="5" fillId="0" borderId="0" xfId="0" applyNumberFormat="1" applyFont="1" applyFill="1" applyProtection="1">
      <protection locked="0"/>
    </xf>
    <xf numFmtId="171" fontId="0" fillId="0" borderId="0" xfId="0" applyNumberFormat="1" applyFill="1"/>
    <xf numFmtId="167" fontId="0" fillId="0" borderId="0" xfId="0" applyNumberFormat="1" applyFont="1" applyFill="1" applyAlignment="1" applyProtection="1">
      <alignment horizontal="right"/>
      <protection locked="0"/>
    </xf>
    <xf numFmtId="167" fontId="2" fillId="0" borderId="0" xfId="0" applyNumberFormat="1" applyFont="1" applyFill="1" applyAlignment="1" applyProtection="1">
      <alignment horizontal="right"/>
      <protection locked="0"/>
    </xf>
    <xf numFmtId="3" fontId="5" fillId="0" borderId="0" xfId="0" applyNumberFormat="1" applyFont="1" applyFill="1" applyProtection="1">
      <protection locked="0"/>
    </xf>
    <xf numFmtId="171" fontId="5" fillId="0" borderId="0" xfId="0" applyNumberFormat="1" applyFont="1" applyFill="1"/>
    <xf numFmtId="167" fontId="5" fillId="0" borderId="0" xfId="0" applyNumberFormat="1" applyFont="1" applyFill="1" applyAlignment="1" applyProtection="1">
      <alignment horizontal="right"/>
      <protection locked="0"/>
    </xf>
    <xf numFmtId="171" fontId="0" fillId="0" borderId="0" xfId="0" applyNumberFormat="1" applyFont="1" applyFill="1" applyAlignment="1" applyProtection="1">
      <alignment horizontal="right"/>
      <protection locked="0"/>
    </xf>
    <xf numFmtId="171" fontId="5" fillId="0" borderId="0" xfId="0" applyNumberFormat="1" applyFont="1" applyFill="1" applyAlignment="1" applyProtection="1">
      <alignment horizontal="right"/>
      <protection locked="0"/>
    </xf>
    <xf numFmtId="0" fontId="2" fillId="0" borderId="0" xfId="0" applyFont="1" applyFill="1" applyAlignment="1">
      <alignment horizontal="right"/>
    </xf>
  </cellXfs>
  <cellStyles count="78">
    <cellStyle name="20 % - Accent1" xfId="1" builtinId="30" customBuiltin="1"/>
    <cellStyle name="20 % - Accent1 2" xfId="2" xr:uid="{69EF90B9-1D2F-4E6A-8EFB-982216837252}"/>
    <cellStyle name="20 % - Accent2" xfId="3" builtinId="34" customBuiltin="1"/>
    <cellStyle name="20 % - Accent2 2" xfId="4" xr:uid="{B449A475-118B-4D58-AF40-97D6B8C90D17}"/>
    <cellStyle name="20 % - Accent3" xfId="5" builtinId="38" customBuiltin="1"/>
    <cellStyle name="20 % - Accent3 2" xfId="6" xr:uid="{57B0EFB7-FD88-4089-AF6D-41FC89DD16AE}"/>
    <cellStyle name="20 % - Accent4" xfId="7" builtinId="42" customBuiltin="1"/>
    <cellStyle name="20 % - Accent4 2" xfId="8" xr:uid="{71778016-38D3-419E-8941-37F8FA004385}"/>
    <cellStyle name="20 % - Accent5" xfId="9" builtinId="46" customBuiltin="1"/>
    <cellStyle name="20 % - Accent5 2" xfId="10" xr:uid="{FFAD9E67-F2C4-4051-80D9-A46F8F379600}"/>
    <cellStyle name="20 % - Accent6" xfId="11" builtinId="50" customBuiltin="1"/>
    <cellStyle name="20 % - Accent6 2" xfId="12" xr:uid="{89AF2FBF-1348-4AE3-94FA-30B0EC827819}"/>
    <cellStyle name="40 % - Accent1" xfId="13" builtinId="31" customBuiltin="1"/>
    <cellStyle name="40 % - Accent1 2" xfId="14" xr:uid="{01D0E3EB-1D65-4B6E-9FD9-09DB10EDD63F}"/>
    <cellStyle name="40 % - Accent2" xfId="15" builtinId="35" customBuiltin="1"/>
    <cellStyle name="40 % - Accent2 2" xfId="16" xr:uid="{626D7641-80E5-4310-B877-2E14DE2B1AB7}"/>
    <cellStyle name="40 % - Accent3" xfId="17" builtinId="39" customBuiltin="1"/>
    <cellStyle name="40 % - Accent3 2" xfId="18" xr:uid="{3F05BB4C-5CFC-4443-9B71-7DCF841FD99D}"/>
    <cellStyle name="40 % - Accent4" xfId="19" builtinId="43" customBuiltin="1"/>
    <cellStyle name="40 % - Accent4 2" xfId="20" xr:uid="{73F892E4-BD7A-409D-843F-144BE4E6F1C2}"/>
    <cellStyle name="40 % - Accent5" xfId="21" builtinId="47" customBuiltin="1"/>
    <cellStyle name="40 % - Accent5 2" xfId="22" xr:uid="{D4780D53-0ADD-42C6-B410-CE9181E095BC}"/>
    <cellStyle name="40 % - Accent6" xfId="23" builtinId="51" customBuiltin="1"/>
    <cellStyle name="40 % - Accent6 2" xfId="24" xr:uid="{CCC0E11E-16AD-463C-B4EA-636B1E0F6BF9}"/>
    <cellStyle name="60 % - Accent1" xfId="25" builtinId="32" customBuiltin="1"/>
    <cellStyle name="60 % - Accent1 2" xfId="26" xr:uid="{E3321CF5-3BEE-4105-BD47-200425303D4D}"/>
    <cellStyle name="60 % - Accent2" xfId="27" builtinId="36" customBuiltin="1"/>
    <cellStyle name="60 % - Accent2 2" xfId="28" xr:uid="{E5739A5E-63F4-416D-8D69-C3EB7344C717}"/>
    <cellStyle name="60 % - Accent3" xfId="29" builtinId="40" customBuiltin="1"/>
    <cellStyle name="60 % - Accent3 2" xfId="30" xr:uid="{CE113921-96A7-431B-A874-505DD9F9A4C6}"/>
    <cellStyle name="60 % - Accent4" xfId="31" builtinId="44" customBuiltin="1"/>
    <cellStyle name="60 % - Accent4 2" xfId="32" xr:uid="{2970AA94-67E7-43E4-8C14-58C28C407CCF}"/>
    <cellStyle name="60 % - Accent5" xfId="33" builtinId="48" customBuiltin="1"/>
    <cellStyle name="60 % - Accent5 2" xfId="34" xr:uid="{016D1E96-3BB4-42D3-8456-4495A9348EC9}"/>
    <cellStyle name="60 % - Accent6" xfId="35" builtinId="52" customBuiltin="1"/>
    <cellStyle name="60 % - Accent6 2" xfId="36" xr:uid="{73AF73F1-C28D-4627-91F3-B04BBFF02866}"/>
    <cellStyle name="Accent1" xfId="37" builtinId="29" customBuiltin="1"/>
    <cellStyle name="Accent1 2" xfId="38" xr:uid="{91F6A9A9-F08C-47AB-86ED-3AD811AEF3B5}"/>
    <cellStyle name="Accent2" xfId="39" builtinId="33" customBuiltin="1"/>
    <cellStyle name="Accent2 2" xfId="40" xr:uid="{18659AE1-E400-4328-9741-97A328780802}"/>
    <cellStyle name="Accent3" xfId="41" builtinId="37" customBuiltin="1"/>
    <cellStyle name="Accent3 2" xfId="42" xr:uid="{6638ED12-736E-48CB-9ACA-AB69A8262334}"/>
    <cellStyle name="Accent4" xfId="43" builtinId="41" customBuiltin="1"/>
    <cellStyle name="Accent4 2" xfId="44" xr:uid="{45B2CCCD-47FC-4DFC-BED7-D6C81E6F66C2}"/>
    <cellStyle name="Accent5" xfId="45" builtinId="45" customBuiltin="1"/>
    <cellStyle name="Accent5 2" xfId="46" xr:uid="{B9439BCC-F21F-4DD8-8154-E49CDAAD292F}"/>
    <cellStyle name="Accent6" xfId="47" builtinId="49" customBuiltin="1"/>
    <cellStyle name="Accent6 2" xfId="48" xr:uid="{41D07ABA-8488-42D4-A559-1DBAFFDAB44A}"/>
    <cellStyle name="Avertissement" xfId="49" builtinId="11" customBuiltin="1"/>
    <cellStyle name="Avertissement 2" xfId="50" xr:uid="{2AC34BD3-8132-466D-933F-76125E468EAB}"/>
    <cellStyle name="Calcul" xfId="51" builtinId="22" customBuiltin="1"/>
    <cellStyle name="Calcul 2" xfId="52" xr:uid="{3B6D6E28-8BA4-4C16-9760-54965A353988}"/>
    <cellStyle name="Cellule liée" xfId="53" builtinId="24" customBuiltin="1"/>
    <cellStyle name="Cellule liée 2" xfId="54" xr:uid="{2A794B43-FE69-4D37-AF97-4C70B0E19B8F}"/>
    <cellStyle name="Commentaire 2" xfId="55" xr:uid="{92504D98-1CDF-476F-B155-9ACB6C032DFB}"/>
    <cellStyle name="Entrée" xfId="56" builtinId="20" customBuiltin="1"/>
    <cellStyle name="Entrée 2" xfId="57" xr:uid="{70F363BF-9443-4E1A-B6C3-9C1511819234}"/>
    <cellStyle name="Insatisfaisant" xfId="58" builtinId="27" customBuiltin="1"/>
    <cellStyle name="Insatisfaisant 2" xfId="59" xr:uid="{4FC36B5A-A80B-4AA7-8678-E30F8A95416C}"/>
    <cellStyle name="Neutre" xfId="60" builtinId="28" customBuiltin="1"/>
    <cellStyle name="Neutre 2" xfId="61" xr:uid="{93CCB279-AD4E-4297-B49C-C613CF4F05A3}"/>
    <cellStyle name="Normal" xfId="0" builtinId="0" customBuiltin="1"/>
    <cellStyle name="Normal 2" xfId="62" xr:uid="{116EA70C-6D99-452F-A075-835289BBF760}"/>
    <cellStyle name="Satisfaisant" xfId="63" builtinId="26" customBuiltin="1"/>
    <cellStyle name="Satisfaisant 2" xfId="64" xr:uid="{B79BC095-7472-4EE3-80CD-32287F9563EE}"/>
    <cellStyle name="Sortie" xfId="65" builtinId="21" customBuiltin="1"/>
    <cellStyle name="Sortie 2" xfId="66" xr:uid="{ACE41EC6-1522-4D4A-8CF4-C3F948742E79}"/>
    <cellStyle name="Texte explicatif" xfId="67" builtinId="53" customBuiltin="1"/>
    <cellStyle name="Texte explicatif 2" xfId="68" xr:uid="{1374B47F-8F01-42EF-8F27-54E22EDB5D12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70681AC0-552E-495D-9F1A-EAD32A8BE0BE}"/>
    <cellStyle name="Vérification" xfId="76" builtinId="23" customBuiltin="1"/>
    <cellStyle name="Vérification 2" xfId="77" xr:uid="{1F97D767-15D2-42E0-8595-A2F613B84D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3554" name="Picture 1" descr="logo stat-ge">
          <a:extLst>
            <a:ext uri="{FF2B5EF4-FFF2-40B4-BE49-F238E27FC236}">
              <a16:creationId xmlns:a16="http://schemas.microsoft.com/office/drawing/2014/main" id="{FCD07FC3-84A4-40A1-3656-6DD5ED69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2536" name="Picture 1" descr="logo stat-ge">
          <a:extLst>
            <a:ext uri="{FF2B5EF4-FFF2-40B4-BE49-F238E27FC236}">
              <a16:creationId xmlns:a16="http://schemas.microsoft.com/office/drawing/2014/main" id="{2AD31CD2-FC40-ADF9-9E0F-E2C352D04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0624-BBF5-4367-8449-3E97C357D276}">
  <dimension ref="A1:P66"/>
  <sheetViews>
    <sheetView tabSelected="1" workbookViewId="0">
      <selection activeCell="O1" sqref="O1"/>
    </sheetView>
  </sheetViews>
  <sheetFormatPr baseColWidth="10" defaultColWidth="11.19921875" defaultRowHeight="12.75" x14ac:dyDescent="0.25"/>
  <cols>
    <col min="1" max="1" width="33.79687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25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3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50000000000003" customHeight="1" x14ac:dyDescent="0.25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25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63</v>
      </c>
    </row>
    <row r="5" spans="1:16" ht="15.95" customHeight="1" x14ac:dyDescent="0.25">
      <c r="A5" s="18" t="s">
        <v>66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5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5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5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5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5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5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5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5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5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5">
      <c r="A15" s="29" t="s">
        <v>10</v>
      </c>
      <c r="B15" s="50">
        <v>371</v>
      </c>
      <c r="C15" s="50">
        <v>381</v>
      </c>
      <c r="D15" s="51">
        <v>752</v>
      </c>
      <c r="E15" s="55">
        <v>50.664893617021278</v>
      </c>
      <c r="F15" s="56"/>
      <c r="G15" s="50">
        <v>191</v>
      </c>
      <c r="H15" s="50">
        <v>196</v>
      </c>
      <c r="I15" s="51">
        <v>387</v>
      </c>
      <c r="J15" s="55">
        <v>50.645994832041346</v>
      </c>
      <c r="K15" s="56"/>
      <c r="L15" s="61">
        <f>G15*100/B15</f>
        <v>51.482479784366575</v>
      </c>
      <c r="M15" s="61">
        <f>H15*100/C15</f>
        <v>51.443569553805773</v>
      </c>
      <c r="N15" s="61">
        <f>I15*100/D15</f>
        <v>51.462765957446805</v>
      </c>
      <c r="P15" s="44"/>
    </row>
    <row r="16" spans="1:16" ht="12" customHeight="1" x14ac:dyDescent="0.25">
      <c r="A16" s="29" t="s">
        <v>11</v>
      </c>
      <c r="B16" s="50">
        <v>639</v>
      </c>
      <c r="C16" s="50">
        <v>718</v>
      </c>
      <c r="D16" s="51">
        <v>1357</v>
      </c>
      <c r="E16" s="55">
        <v>52.910832719233603</v>
      </c>
      <c r="F16" s="56"/>
      <c r="G16" s="50">
        <v>374</v>
      </c>
      <c r="H16" s="50">
        <v>411</v>
      </c>
      <c r="I16" s="51">
        <v>785</v>
      </c>
      <c r="J16" s="55">
        <v>52.35668789808917</v>
      </c>
      <c r="K16" s="56"/>
      <c r="L16" s="61">
        <f t="shared" ref="L16:L62" si="0">G16*100/B16</f>
        <v>58.528951486697963</v>
      </c>
      <c r="M16" s="61">
        <f t="shared" ref="M16:M62" si="1">H16*100/C16</f>
        <v>57.242339832869078</v>
      </c>
      <c r="N16" s="61">
        <f t="shared" ref="N16:N62" si="2">I16*100/D16</f>
        <v>57.848194546794396</v>
      </c>
      <c r="P16" s="44"/>
    </row>
    <row r="17" spans="1:16" ht="12" customHeight="1" x14ac:dyDescent="0.25">
      <c r="A17" s="29" t="s">
        <v>12</v>
      </c>
      <c r="B17" s="50">
        <v>514</v>
      </c>
      <c r="C17" s="50">
        <v>560</v>
      </c>
      <c r="D17" s="51">
        <v>1074</v>
      </c>
      <c r="E17" s="55">
        <v>52.141527001862194</v>
      </c>
      <c r="F17" s="56"/>
      <c r="G17" s="50">
        <v>206</v>
      </c>
      <c r="H17" s="50">
        <v>233</v>
      </c>
      <c r="I17" s="51">
        <v>439</v>
      </c>
      <c r="J17" s="55">
        <v>53.075170842824605</v>
      </c>
      <c r="K17" s="56"/>
      <c r="L17" s="61">
        <f t="shared" si="0"/>
        <v>40.077821011673151</v>
      </c>
      <c r="M17" s="61">
        <f t="shared" si="1"/>
        <v>41.607142857142854</v>
      </c>
      <c r="N17" s="61">
        <f t="shared" si="2"/>
        <v>40.875232774674117</v>
      </c>
      <c r="P17" s="44"/>
    </row>
    <row r="18" spans="1:16" ht="12" customHeight="1" x14ac:dyDescent="0.25">
      <c r="A18" s="29" t="s">
        <v>13</v>
      </c>
      <c r="B18" s="50">
        <v>498</v>
      </c>
      <c r="C18" s="50">
        <v>518</v>
      </c>
      <c r="D18" s="51">
        <v>1016</v>
      </c>
      <c r="E18" s="55">
        <v>50.984251968503933</v>
      </c>
      <c r="F18" s="56"/>
      <c r="G18" s="50">
        <v>256</v>
      </c>
      <c r="H18" s="50">
        <v>268</v>
      </c>
      <c r="I18" s="51">
        <v>524</v>
      </c>
      <c r="J18" s="55">
        <v>51.145038167938928</v>
      </c>
      <c r="K18" s="56"/>
      <c r="L18" s="61">
        <f t="shared" si="0"/>
        <v>51.405622489959839</v>
      </c>
      <c r="M18" s="61">
        <f t="shared" si="1"/>
        <v>51.737451737451735</v>
      </c>
      <c r="N18" s="61">
        <f t="shared" si="2"/>
        <v>51.574803149606296</v>
      </c>
      <c r="P18" s="44"/>
    </row>
    <row r="19" spans="1:16" ht="12" customHeight="1" x14ac:dyDescent="0.25">
      <c r="A19" s="29" t="s">
        <v>14</v>
      </c>
      <c r="B19" s="50">
        <v>697</v>
      </c>
      <c r="C19" s="50">
        <v>821</v>
      </c>
      <c r="D19" s="51">
        <v>1518</v>
      </c>
      <c r="E19" s="55">
        <v>54.084321475625821</v>
      </c>
      <c r="F19" s="56"/>
      <c r="G19" s="50">
        <v>348</v>
      </c>
      <c r="H19" s="50">
        <v>393</v>
      </c>
      <c r="I19" s="51">
        <v>741</v>
      </c>
      <c r="J19" s="55">
        <v>53.036437246963565</v>
      </c>
      <c r="K19" s="56"/>
      <c r="L19" s="61">
        <f t="shared" si="0"/>
        <v>49.928263988522239</v>
      </c>
      <c r="M19" s="61">
        <f t="shared" si="1"/>
        <v>47.868453105968328</v>
      </c>
      <c r="N19" s="61">
        <f t="shared" si="2"/>
        <v>48.814229249011859</v>
      </c>
      <c r="P19" s="44"/>
    </row>
    <row r="20" spans="1:16" ht="20.100000000000001" customHeight="1" x14ac:dyDescent="0.25">
      <c r="A20" s="29" t="s">
        <v>15</v>
      </c>
      <c r="B20" s="50">
        <v>912</v>
      </c>
      <c r="C20" s="50">
        <v>1037</v>
      </c>
      <c r="D20" s="51">
        <v>1949</v>
      </c>
      <c r="E20" s="55">
        <v>53.206772703950747</v>
      </c>
      <c r="F20" s="56"/>
      <c r="G20" s="50">
        <v>345</v>
      </c>
      <c r="H20" s="50">
        <v>405</v>
      </c>
      <c r="I20" s="51">
        <v>750</v>
      </c>
      <c r="J20" s="55">
        <v>54</v>
      </c>
      <c r="K20" s="56"/>
      <c r="L20" s="61">
        <f t="shared" si="0"/>
        <v>37.828947368421055</v>
      </c>
      <c r="M20" s="61">
        <f t="shared" si="1"/>
        <v>39.054966248794599</v>
      </c>
      <c r="N20" s="61">
        <f t="shared" si="2"/>
        <v>38.481272447408926</v>
      </c>
      <c r="P20" s="44"/>
    </row>
    <row r="21" spans="1:16" ht="12" customHeight="1" x14ac:dyDescent="0.25">
      <c r="A21" s="29" t="s">
        <v>16</v>
      </c>
      <c r="B21" s="50">
        <v>3047</v>
      </c>
      <c r="C21" s="50">
        <v>3417</v>
      </c>
      <c r="D21" s="51">
        <v>6464</v>
      </c>
      <c r="E21" s="55">
        <v>52.862004950495049</v>
      </c>
      <c r="F21" s="56"/>
      <c r="G21" s="50">
        <v>1509</v>
      </c>
      <c r="H21" s="50">
        <v>1601</v>
      </c>
      <c r="I21" s="51">
        <v>3110</v>
      </c>
      <c r="J21" s="55">
        <v>51.479099678456592</v>
      </c>
      <c r="K21" s="56"/>
      <c r="L21" s="61">
        <f t="shared" si="0"/>
        <v>49.524122087298984</v>
      </c>
      <c r="M21" s="61">
        <f t="shared" si="1"/>
        <v>46.853965466783727</v>
      </c>
      <c r="N21" s="61">
        <f t="shared" si="2"/>
        <v>48.112623762376238</v>
      </c>
      <c r="P21" s="44"/>
    </row>
    <row r="22" spans="1:16" ht="12" customHeight="1" x14ac:dyDescent="0.25">
      <c r="A22" s="29" t="s">
        <v>17</v>
      </c>
      <c r="B22" s="50">
        <v>4959</v>
      </c>
      <c r="C22" s="50">
        <v>6171</v>
      </c>
      <c r="D22" s="51">
        <v>11130</v>
      </c>
      <c r="E22" s="55">
        <v>55.444743935309972</v>
      </c>
      <c r="F22" s="56"/>
      <c r="G22" s="50">
        <v>2082</v>
      </c>
      <c r="H22" s="50">
        <v>2575</v>
      </c>
      <c r="I22" s="51">
        <v>4657</v>
      </c>
      <c r="J22" s="55">
        <v>55.29310715052609</v>
      </c>
      <c r="K22" s="56"/>
      <c r="L22" s="61">
        <f t="shared" si="0"/>
        <v>41.984271022383545</v>
      </c>
      <c r="M22" s="61">
        <f t="shared" si="1"/>
        <v>41.727434775563118</v>
      </c>
      <c r="N22" s="61">
        <f t="shared" si="2"/>
        <v>41.841868823000901</v>
      </c>
      <c r="P22" s="44"/>
    </row>
    <row r="23" spans="1:16" ht="12" customHeight="1" x14ac:dyDescent="0.25">
      <c r="A23" s="29" t="s">
        <v>18</v>
      </c>
      <c r="B23" s="50">
        <v>323</v>
      </c>
      <c r="C23" s="50">
        <v>325</v>
      </c>
      <c r="D23" s="51">
        <v>648</v>
      </c>
      <c r="E23" s="55">
        <v>50.154320987654323</v>
      </c>
      <c r="F23" s="56"/>
      <c r="G23" s="50">
        <v>175</v>
      </c>
      <c r="H23" s="50">
        <v>182</v>
      </c>
      <c r="I23" s="51">
        <v>357</v>
      </c>
      <c r="J23" s="55">
        <v>50.980392156862742</v>
      </c>
      <c r="K23" s="56"/>
      <c r="L23" s="61">
        <f t="shared" si="0"/>
        <v>54.179566563467489</v>
      </c>
      <c r="M23" s="61">
        <f t="shared" si="1"/>
        <v>56</v>
      </c>
      <c r="N23" s="61">
        <f t="shared" si="2"/>
        <v>55.092592592592595</v>
      </c>
      <c r="P23" s="44"/>
    </row>
    <row r="24" spans="1:16" ht="12" customHeight="1" x14ac:dyDescent="0.25">
      <c r="A24" s="29" t="s">
        <v>19</v>
      </c>
      <c r="B24" s="50">
        <v>195</v>
      </c>
      <c r="C24" s="50">
        <v>233</v>
      </c>
      <c r="D24" s="51">
        <v>428</v>
      </c>
      <c r="E24" s="55">
        <v>54.439252336448597</v>
      </c>
      <c r="F24" s="56"/>
      <c r="G24" s="50">
        <v>90</v>
      </c>
      <c r="H24" s="50">
        <v>127</v>
      </c>
      <c r="I24" s="51">
        <v>217</v>
      </c>
      <c r="J24" s="55">
        <v>58.525345622119815</v>
      </c>
      <c r="K24" s="56"/>
      <c r="L24" s="61">
        <f t="shared" si="0"/>
        <v>46.153846153846153</v>
      </c>
      <c r="M24" s="61">
        <f t="shared" si="1"/>
        <v>54.506437768240346</v>
      </c>
      <c r="N24" s="61">
        <f t="shared" si="2"/>
        <v>50.700934579439256</v>
      </c>
      <c r="P24" s="44"/>
    </row>
    <row r="25" spans="1:16" ht="20.100000000000001" customHeight="1" x14ac:dyDescent="0.25">
      <c r="A25" s="29" t="s">
        <v>20</v>
      </c>
      <c r="B25" s="50">
        <v>481</v>
      </c>
      <c r="C25" s="50">
        <v>469</v>
      </c>
      <c r="D25" s="51">
        <v>950</v>
      </c>
      <c r="E25" s="55">
        <v>49.368421052631582</v>
      </c>
      <c r="F25" s="56"/>
      <c r="G25" s="50">
        <v>183</v>
      </c>
      <c r="H25" s="50">
        <v>160</v>
      </c>
      <c r="I25" s="51">
        <v>343</v>
      </c>
      <c r="J25" s="55">
        <v>46.647230320699705</v>
      </c>
      <c r="K25" s="56"/>
      <c r="L25" s="61">
        <f t="shared" si="0"/>
        <v>38.045738045738048</v>
      </c>
      <c r="M25" s="61">
        <f t="shared" si="1"/>
        <v>34.115138592750533</v>
      </c>
      <c r="N25" s="61">
        <f t="shared" si="2"/>
        <v>36.10526315789474</v>
      </c>
      <c r="P25" s="44"/>
    </row>
    <row r="26" spans="1:16" s="34" customFormat="1" ht="12" customHeight="1" x14ac:dyDescent="0.25">
      <c r="A26" s="35" t="s">
        <v>21</v>
      </c>
      <c r="B26" s="50">
        <v>3054</v>
      </c>
      <c r="C26" s="50">
        <v>3706</v>
      </c>
      <c r="D26" s="51">
        <v>6760</v>
      </c>
      <c r="E26" s="55">
        <v>54.822485207100591</v>
      </c>
      <c r="F26" s="57"/>
      <c r="G26" s="50">
        <v>1599</v>
      </c>
      <c r="H26" s="50">
        <v>1771</v>
      </c>
      <c r="I26" s="51">
        <v>3370</v>
      </c>
      <c r="J26" s="55">
        <v>52.551928783382792</v>
      </c>
      <c r="K26" s="57"/>
      <c r="L26" s="61">
        <f t="shared" si="0"/>
        <v>52.357563850687626</v>
      </c>
      <c r="M26" s="61">
        <f t="shared" si="1"/>
        <v>47.787371829465734</v>
      </c>
      <c r="N26" s="61">
        <f t="shared" si="2"/>
        <v>49.852071005917161</v>
      </c>
      <c r="P26" s="44"/>
    </row>
    <row r="27" spans="1:16" ht="12" customHeight="1" x14ac:dyDescent="0.25">
      <c r="A27" s="29" t="s">
        <v>22</v>
      </c>
      <c r="B27" s="50">
        <v>1960</v>
      </c>
      <c r="C27" s="50">
        <v>2431</v>
      </c>
      <c r="D27" s="51">
        <v>4391</v>
      </c>
      <c r="E27" s="55">
        <v>55.3632429970394</v>
      </c>
      <c r="F27" s="56"/>
      <c r="G27" s="50">
        <v>803</v>
      </c>
      <c r="H27" s="50">
        <v>980</v>
      </c>
      <c r="I27" s="51">
        <v>1783</v>
      </c>
      <c r="J27" s="55">
        <v>54.963544587773413</v>
      </c>
      <c r="K27" s="56"/>
      <c r="L27" s="61">
        <f t="shared" si="0"/>
        <v>40.969387755102041</v>
      </c>
      <c r="M27" s="61">
        <f t="shared" si="1"/>
        <v>40.312628547922664</v>
      </c>
      <c r="N27" s="61">
        <f t="shared" si="2"/>
        <v>40.60578455932589</v>
      </c>
      <c r="P27" s="44"/>
    </row>
    <row r="28" spans="1:16" ht="12" customHeight="1" x14ac:dyDescent="0.25">
      <c r="A28" s="29" t="s">
        <v>23</v>
      </c>
      <c r="B28" s="50">
        <v>346</v>
      </c>
      <c r="C28" s="50">
        <v>403</v>
      </c>
      <c r="D28" s="51">
        <v>749</v>
      </c>
      <c r="E28" s="55">
        <v>53.805073431241652</v>
      </c>
      <c r="F28" s="56"/>
      <c r="G28" s="50">
        <v>198</v>
      </c>
      <c r="H28" s="50">
        <v>227</v>
      </c>
      <c r="I28" s="51">
        <v>425</v>
      </c>
      <c r="J28" s="55">
        <v>53.411764705882355</v>
      </c>
      <c r="K28" s="56"/>
      <c r="L28" s="61">
        <f t="shared" si="0"/>
        <v>57.225433526011564</v>
      </c>
      <c r="M28" s="61">
        <f t="shared" si="1"/>
        <v>56.327543424317618</v>
      </c>
      <c r="N28" s="61">
        <f t="shared" si="2"/>
        <v>56.742323097463284</v>
      </c>
      <c r="P28" s="44"/>
    </row>
    <row r="29" spans="1:16" ht="12" customHeight="1" x14ac:dyDescent="0.25">
      <c r="A29" s="29" t="s">
        <v>24</v>
      </c>
      <c r="B29" s="50">
        <v>424</v>
      </c>
      <c r="C29" s="50">
        <v>467</v>
      </c>
      <c r="D29" s="51">
        <v>891</v>
      </c>
      <c r="E29" s="55">
        <v>52.413019079685746</v>
      </c>
      <c r="F29" s="56"/>
      <c r="G29" s="50">
        <v>204</v>
      </c>
      <c r="H29" s="50">
        <v>216</v>
      </c>
      <c r="I29" s="51">
        <v>420</v>
      </c>
      <c r="J29" s="55">
        <v>51.428571428571431</v>
      </c>
      <c r="K29" s="56"/>
      <c r="L29" s="61">
        <f t="shared" si="0"/>
        <v>48.113207547169814</v>
      </c>
      <c r="M29" s="61">
        <f t="shared" si="1"/>
        <v>46.252676659528909</v>
      </c>
      <c r="N29" s="61">
        <f t="shared" si="2"/>
        <v>47.138047138047135</v>
      </c>
      <c r="P29" s="44"/>
    </row>
    <row r="30" spans="1:16" s="34" customFormat="1" ht="20.100000000000001" customHeight="1" x14ac:dyDescent="0.25">
      <c r="A30" s="35" t="s">
        <v>25</v>
      </c>
      <c r="B30" s="50">
        <v>2195</v>
      </c>
      <c r="C30" s="50">
        <v>2544</v>
      </c>
      <c r="D30" s="51">
        <v>4739</v>
      </c>
      <c r="E30" s="55">
        <v>53.682211437012029</v>
      </c>
      <c r="F30" s="57"/>
      <c r="G30" s="50">
        <v>1216</v>
      </c>
      <c r="H30" s="50">
        <v>1337</v>
      </c>
      <c r="I30" s="51">
        <v>2553</v>
      </c>
      <c r="J30" s="55">
        <v>52.369761065413236</v>
      </c>
      <c r="K30" s="57"/>
      <c r="L30" s="61">
        <f t="shared" si="0"/>
        <v>55.398633257403191</v>
      </c>
      <c r="M30" s="61">
        <f t="shared" si="1"/>
        <v>52.55503144654088</v>
      </c>
      <c r="N30" s="61">
        <f t="shared" si="2"/>
        <v>53.872124920869382</v>
      </c>
      <c r="P30" s="44"/>
    </row>
    <row r="31" spans="1:16" ht="12" customHeight="1" x14ac:dyDescent="0.25">
      <c r="A31" s="29" t="s">
        <v>26</v>
      </c>
      <c r="B31" s="50">
        <v>1339</v>
      </c>
      <c r="C31" s="50">
        <v>1681</v>
      </c>
      <c r="D31" s="51">
        <v>3020</v>
      </c>
      <c r="E31" s="55">
        <v>55.662251655629142</v>
      </c>
      <c r="F31" s="56"/>
      <c r="G31" s="50">
        <v>764</v>
      </c>
      <c r="H31" s="50">
        <v>856</v>
      </c>
      <c r="I31" s="51">
        <v>1620</v>
      </c>
      <c r="J31" s="55">
        <v>52.839506172839506</v>
      </c>
      <c r="K31" s="56"/>
      <c r="L31" s="61">
        <f t="shared" si="0"/>
        <v>57.057505601194919</v>
      </c>
      <c r="M31" s="61">
        <f t="shared" si="1"/>
        <v>50.922070196311722</v>
      </c>
      <c r="N31" s="61">
        <f t="shared" si="2"/>
        <v>53.642384105960268</v>
      </c>
      <c r="P31" s="44"/>
    </row>
    <row r="32" spans="1:16" ht="12" customHeight="1" x14ac:dyDescent="0.25">
      <c r="A32" s="29" t="s">
        <v>27</v>
      </c>
      <c r="B32" s="50">
        <v>1415</v>
      </c>
      <c r="C32" s="50">
        <v>1578</v>
      </c>
      <c r="D32" s="51">
        <v>2993</v>
      </c>
      <c r="E32" s="55">
        <v>52.723020380888741</v>
      </c>
      <c r="F32" s="56"/>
      <c r="G32" s="50">
        <v>751</v>
      </c>
      <c r="H32" s="50">
        <v>790</v>
      </c>
      <c r="I32" s="51">
        <v>1541</v>
      </c>
      <c r="J32" s="55">
        <v>51.265412070084359</v>
      </c>
      <c r="K32" s="56"/>
      <c r="L32" s="61">
        <f t="shared" si="0"/>
        <v>53.074204946996467</v>
      </c>
      <c r="M32" s="61">
        <f t="shared" si="1"/>
        <v>50.063371356147023</v>
      </c>
      <c r="N32" s="61">
        <f t="shared" si="2"/>
        <v>51.486802539258271</v>
      </c>
      <c r="P32" s="44"/>
    </row>
    <row r="33" spans="1:16" ht="12" customHeight="1" x14ac:dyDescent="0.25">
      <c r="A33" s="29" t="s">
        <v>28</v>
      </c>
      <c r="B33" s="50">
        <v>580</v>
      </c>
      <c r="C33" s="50">
        <v>675</v>
      </c>
      <c r="D33" s="51">
        <v>1255</v>
      </c>
      <c r="E33" s="55">
        <v>53.784860557768923</v>
      </c>
      <c r="F33" s="56"/>
      <c r="G33" s="50">
        <v>288</v>
      </c>
      <c r="H33" s="50">
        <v>339</v>
      </c>
      <c r="I33" s="51">
        <v>627</v>
      </c>
      <c r="J33" s="55">
        <v>54.066985645933016</v>
      </c>
      <c r="K33" s="56"/>
      <c r="L33" s="61">
        <f t="shared" si="0"/>
        <v>49.655172413793103</v>
      </c>
      <c r="M33" s="61">
        <f t="shared" si="1"/>
        <v>50.222222222222221</v>
      </c>
      <c r="N33" s="61">
        <f t="shared" si="2"/>
        <v>49.960159362549803</v>
      </c>
      <c r="P33" s="44"/>
    </row>
    <row r="34" spans="1:16" ht="12" customHeight="1" x14ac:dyDescent="0.25">
      <c r="A34" s="29" t="s">
        <v>29</v>
      </c>
      <c r="B34" s="50">
        <v>470</v>
      </c>
      <c r="C34" s="50">
        <v>553</v>
      </c>
      <c r="D34" s="51">
        <v>1023</v>
      </c>
      <c r="E34" s="55">
        <v>54.056695992179861</v>
      </c>
      <c r="F34" s="56"/>
      <c r="G34" s="50">
        <v>207</v>
      </c>
      <c r="H34" s="50">
        <v>249</v>
      </c>
      <c r="I34" s="51">
        <v>456</v>
      </c>
      <c r="J34" s="55">
        <v>54.60526315789474</v>
      </c>
      <c r="K34" s="56"/>
      <c r="L34" s="61">
        <f t="shared" si="0"/>
        <v>44.042553191489361</v>
      </c>
      <c r="M34" s="61">
        <f t="shared" si="1"/>
        <v>45.027124773960217</v>
      </c>
      <c r="N34" s="61">
        <f t="shared" si="2"/>
        <v>44.574780058651029</v>
      </c>
      <c r="P34" s="44"/>
    </row>
    <row r="35" spans="1:16" ht="20.100000000000001" customHeight="1" x14ac:dyDescent="0.25">
      <c r="A35" s="35" t="s">
        <v>30</v>
      </c>
      <c r="B35" s="50">
        <v>38697</v>
      </c>
      <c r="C35" s="50">
        <v>46765</v>
      </c>
      <c r="D35" s="51">
        <v>85462</v>
      </c>
      <c r="E35" s="55">
        <v>54.720226533430065</v>
      </c>
      <c r="F35" s="57"/>
      <c r="G35" s="50">
        <v>16505</v>
      </c>
      <c r="H35" s="50">
        <v>19321</v>
      </c>
      <c r="I35" s="51">
        <v>35826</v>
      </c>
      <c r="J35" s="55">
        <v>53.930106626472394</v>
      </c>
      <c r="K35" s="57"/>
      <c r="L35" s="61">
        <f t="shared" si="0"/>
        <v>42.651885159056256</v>
      </c>
      <c r="M35" s="61">
        <f t="shared" si="1"/>
        <v>41.315086068641079</v>
      </c>
      <c r="N35" s="61">
        <f t="shared" si="2"/>
        <v>41.920385668484236</v>
      </c>
      <c r="P35" s="44"/>
    </row>
    <row r="36" spans="1:16" ht="12" customHeight="1" x14ac:dyDescent="0.25">
      <c r="A36" s="29" t="s">
        <v>31</v>
      </c>
      <c r="B36" s="50">
        <v>718</v>
      </c>
      <c r="C36" s="50">
        <v>808</v>
      </c>
      <c r="D36" s="51">
        <v>1526</v>
      </c>
      <c r="E36" s="55">
        <v>52.94888597640891</v>
      </c>
      <c r="F36" s="56"/>
      <c r="G36" s="50">
        <v>372</v>
      </c>
      <c r="H36" s="50">
        <v>385</v>
      </c>
      <c r="I36" s="51">
        <v>757</v>
      </c>
      <c r="J36" s="55">
        <v>50.858652575957727</v>
      </c>
      <c r="K36" s="56"/>
      <c r="L36" s="61">
        <f t="shared" si="0"/>
        <v>51.81058495821727</v>
      </c>
      <c r="M36" s="61">
        <f t="shared" si="1"/>
        <v>47.648514851485146</v>
      </c>
      <c r="N36" s="61">
        <f t="shared" si="2"/>
        <v>49.60681520314548</v>
      </c>
      <c r="P36" s="44"/>
    </row>
    <row r="37" spans="1:16" ht="12" customHeight="1" x14ac:dyDescent="0.25">
      <c r="A37" s="29" t="s">
        <v>32</v>
      </c>
      <c r="B37" s="50">
        <v>2532</v>
      </c>
      <c r="C37" s="50">
        <v>2982</v>
      </c>
      <c r="D37" s="51">
        <v>5514</v>
      </c>
      <c r="E37" s="55">
        <v>54.080522306855279</v>
      </c>
      <c r="F37" s="56"/>
      <c r="G37" s="50">
        <v>1023</v>
      </c>
      <c r="H37" s="50">
        <v>1178</v>
      </c>
      <c r="I37" s="51">
        <v>2201</v>
      </c>
      <c r="J37" s="55">
        <v>53.521126760563384</v>
      </c>
      <c r="K37" s="56"/>
      <c r="L37" s="61">
        <f t="shared" si="0"/>
        <v>40.402843601895732</v>
      </c>
      <c r="M37" s="61">
        <f t="shared" si="1"/>
        <v>39.503688799463447</v>
      </c>
      <c r="N37" s="61">
        <f t="shared" si="2"/>
        <v>39.916575988393184</v>
      </c>
      <c r="P37" s="44"/>
    </row>
    <row r="38" spans="1:16" ht="12" customHeight="1" x14ac:dyDescent="0.25">
      <c r="A38" s="29" t="s">
        <v>33</v>
      </c>
      <c r="B38" s="50">
        <v>153</v>
      </c>
      <c r="C38" s="50">
        <v>175</v>
      </c>
      <c r="D38" s="51">
        <v>328</v>
      </c>
      <c r="E38" s="55">
        <v>53.353658536585364</v>
      </c>
      <c r="F38" s="56"/>
      <c r="G38" s="50">
        <v>74</v>
      </c>
      <c r="H38" s="50">
        <v>77</v>
      </c>
      <c r="I38" s="51">
        <v>151</v>
      </c>
      <c r="J38" s="55">
        <v>50.993377483443709</v>
      </c>
      <c r="K38" s="56"/>
      <c r="L38" s="61">
        <f t="shared" si="0"/>
        <v>48.366013071895424</v>
      </c>
      <c r="M38" s="61">
        <f t="shared" si="1"/>
        <v>44</v>
      </c>
      <c r="N38" s="61">
        <f t="shared" si="2"/>
        <v>46.036585365853661</v>
      </c>
      <c r="P38" s="44"/>
    </row>
    <row r="39" spans="1:16" ht="12" customHeight="1" x14ac:dyDescent="0.25">
      <c r="A39" s="29" t="s">
        <v>34</v>
      </c>
      <c r="B39" s="50">
        <v>303</v>
      </c>
      <c r="C39" s="50">
        <v>375</v>
      </c>
      <c r="D39" s="51">
        <v>678</v>
      </c>
      <c r="E39" s="55">
        <v>55.309734513274336</v>
      </c>
      <c r="F39" s="56"/>
      <c r="G39" s="50">
        <v>161</v>
      </c>
      <c r="H39" s="50">
        <v>188</v>
      </c>
      <c r="I39" s="51">
        <v>349</v>
      </c>
      <c r="J39" s="55">
        <v>53.868194842406879</v>
      </c>
      <c r="K39" s="56"/>
      <c r="L39" s="61">
        <f t="shared" si="0"/>
        <v>53.135313531353134</v>
      </c>
      <c r="M39" s="61">
        <f t="shared" si="1"/>
        <v>50.133333333333333</v>
      </c>
      <c r="N39" s="61">
        <f t="shared" si="2"/>
        <v>51.474926253687315</v>
      </c>
      <c r="P39" s="44"/>
    </row>
    <row r="40" spans="1:16" ht="20.100000000000001" customHeight="1" x14ac:dyDescent="0.25">
      <c r="A40" s="29" t="s">
        <v>35</v>
      </c>
      <c r="B40" s="50">
        <v>358</v>
      </c>
      <c r="C40" s="50">
        <v>386</v>
      </c>
      <c r="D40" s="51">
        <v>744</v>
      </c>
      <c r="E40" s="55">
        <v>51.881720430107528</v>
      </c>
      <c r="F40" s="56"/>
      <c r="G40" s="50">
        <v>186</v>
      </c>
      <c r="H40" s="50">
        <v>199</v>
      </c>
      <c r="I40" s="51">
        <v>385</v>
      </c>
      <c r="J40" s="55">
        <v>51.688311688311686</v>
      </c>
      <c r="K40" s="56"/>
      <c r="L40" s="61">
        <f t="shared" si="0"/>
        <v>51.955307262569832</v>
      </c>
      <c r="M40" s="61">
        <f t="shared" si="1"/>
        <v>51.554404145077719</v>
      </c>
      <c r="N40" s="61">
        <f t="shared" si="2"/>
        <v>51.747311827956992</v>
      </c>
      <c r="P40" s="44"/>
    </row>
    <row r="41" spans="1:16" ht="12" customHeight="1" x14ac:dyDescent="0.25">
      <c r="A41" s="29" t="s">
        <v>36</v>
      </c>
      <c r="B41" s="50">
        <v>230</v>
      </c>
      <c r="C41" s="50">
        <v>253</v>
      </c>
      <c r="D41" s="51">
        <v>483</v>
      </c>
      <c r="E41" s="55">
        <v>52.38095238095238</v>
      </c>
      <c r="F41" s="56"/>
      <c r="G41" s="50">
        <v>124</v>
      </c>
      <c r="H41" s="50">
        <v>140</v>
      </c>
      <c r="I41" s="51">
        <v>264</v>
      </c>
      <c r="J41" s="55">
        <v>53.030303030303031</v>
      </c>
      <c r="K41" s="56"/>
      <c r="L41" s="61">
        <f t="shared" si="0"/>
        <v>53.913043478260867</v>
      </c>
      <c r="M41" s="61">
        <f t="shared" si="1"/>
        <v>55.335968379446641</v>
      </c>
      <c r="N41" s="61">
        <f t="shared" si="2"/>
        <v>54.658385093167702</v>
      </c>
      <c r="P41" s="44"/>
    </row>
    <row r="42" spans="1:16" s="34" customFormat="1" ht="12" customHeight="1" x14ac:dyDescent="0.25">
      <c r="A42" s="35" t="s">
        <v>37</v>
      </c>
      <c r="B42" s="50">
        <v>8030</v>
      </c>
      <c r="C42" s="50">
        <v>9483</v>
      </c>
      <c r="D42" s="51">
        <v>17513</v>
      </c>
      <c r="E42" s="55">
        <v>54.148346942271452</v>
      </c>
      <c r="F42" s="57"/>
      <c r="G42" s="50">
        <v>3097</v>
      </c>
      <c r="H42" s="50">
        <v>3515</v>
      </c>
      <c r="I42" s="51">
        <v>6612</v>
      </c>
      <c r="J42" s="55">
        <v>53.160919540229884</v>
      </c>
      <c r="K42" s="57"/>
      <c r="L42" s="61">
        <f t="shared" si="0"/>
        <v>38.567870485678704</v>
      </c>
      <c r="M42" s="61">
        <f t="shared" si="1"/>
        <v>37.066329220710749</v>
      </c>
      <c r="N42" s="61">
        <f t="shared" si="2"/>
        <v>37.754810712042485</v>
      </c>
      <c r="P42" s="44"/>
    </row>
    <row r="43" spans="1:16" ht="12" customHeight="1" x14ac:dyDescent="0.25">
      <c r="A43" s="29" t="s">
        <v>38</v>
      </c>
      <c r="B43" s="50">
        <v>604</v>
      </c>
      <c r="C43" s="50">
        <v>705</v>
      </c>
      <c r="D43" s="51">
        <v>1309</v>
      </c>
      <c r="E43" s="55">
        <v>53.857906799083267</v>
      </c>
      <c r="F43" s="56"/>
      <c r="G43" s="50">
        <v>322</v>
      </c>
      <c r="H43" s="50">
        <v>330</v>
      </c>
      <c r="I43" s="51">
        <v>652</v>
      </c>
      <c r="J43" s="55">
        <v>50.613496932515339</v>
      </c>
      <c r="K43" s="56"/>
      <c r="L43" s="61">
        <f t="shared" si="0"/>
        <v>53.311258278145694</v>
      </c>
      <c r="M43" s="61">
        <f t="shared" si="1"/>
        <v>46.808510638297875</v>
      </c>
      <c r="N43" s="61">
        <f t="shared" si="2"/>
        <v>49.809014514896866</v>
      </c>
      <c r="P43" s="44"/>
    </row>
    <row r="44" spans="1:16" s="34" customFormat="1" ht="12" customHeight="1" x14ac:dyDescent="0.25">
      <c r="A44" s="35" t="s">
        <v>39</v>
      </c>
      <c r="B44" s="50">
        <v>5246</v>
      </c>
      <c r="C44" s="50">
        <v>6046</v>
      </c>
      <c r="D44" s="51">
        <v>11292</v>
      </c>
      <c r="E44" s="55">
        <v>53.542330853701735</v>
      </c>
      <c r="F44" s="57"/>
      <c r="G44" s="50">
        <v>1889</v>
      </c>
      <c r="H44" s="50">
        <v>2158</v>
      </c>
      <c r="I44" s="51">
        <v>4047</v>
      </c>
      <c r="J44" s="55">
        <v>53.323449468742275</v>
      </c>
      <c r="K44" s="57"/>
      <c r="L44" s="61">
        <f t="shared" si="0"/>
        <v>36.008387342737322</v>
      </c>
      <c r="M44" s="61">
        <f t="shared" si="1"/>
        <v>35.693020178630498</v>
      </c>
      <c r="N44" s="61">
        <f t="shared" si="2"/>
        <v>35.839532412327308</v>
      </c>
      <c r="P44" s="44"/>
    </row>
    <row r="45" spans="1:16" ht="20.100000000000001" customHeight="1" x14ac:dyDescent="0.25">
      <c r="A45" s="29" t="s">
        <v>40</v>
      </c>
      <c r="B45" s="50">
        <v>4272</v>
      </c>
      <c r="C45" s="50">
        <v>5178</v>
      </c>
      <c r="D45" s="51">
        <v>9450</v>
      </c>
      <c r="E45" s="55">
        <v>54.793650793650791</v>
      </c>
      <c r="F45" s="56"/>
      <c r="G45" s="50">
        <v>1674</v>
      </c>
      <c r="H45" s="50">
        <v>1902</v>
      </c>
      <c r="I45" s="51">
        <v>3576</v>
      </c>
      <c r="J45" s="55">
        <v>53.187919463087248</v>
      </c>
      <c r="K45" s="56"/>
      <c r="L45" s="61">
        <f t="shared" si="0"/>
        <v>39.185393258426963</v>
      </c>
      <c r="M45" s="61">
        <f t="shared" si="1"/>
        <v>36.732329084588642</v>
      </c>
      <c r="N45" s="61">
        <f t="shared" si="2"/>
        <v>37.841269841269842</v>
      </c>
      <c r="P45" s="44"/>
    </row>
    <row r="46" spans="1:16" ht="12" customHeight="1" x14ac:dyDescent="0.25">
      <c r="A46" s="29" t="s">
        <v>41</v>
      </c>
      <c r="B46" s="50">
        <v>847</v>
      </c>
      <c r="C46" s="50">
        <v>1036</v>
      </c>
      <c r="D46" s="51">
        <v>1883</v>
      </c>
      <c r="E46" s="55">
        <v>55.018587360594793</v>
      </c>
      <c r="F46" s="56"/>
      <c r="G46" s="50">
        <v>375</v>
      </c>
      <c r="H46" s="50">
        <v>416</v>
      </c>
      <c r="I46" s="51">
        <v>791</v>
      </c>
      <c r="J46" s="55">
        <v>52.591656131479141</v>
      </c>
      <c r="K46" s="56"/>
      <c r="L46" s="61">
        <f t="shared" si="0"/>
        <v>44.273907910271546</v>
      </c>
      <c r="M46" s="61">
        <f t="shared" si="1"/>
        <v>40.154440154440152</v>
      </c>
      <c r="N46" s="61">
        <f t="shared" si="2"/>
        <v>42.007434944237922</v>
      </c>
      <c r="P46" s="44"/>
    </row>
    <row r="47" spans="1:16" ht="12" customHeight="1" x14ac:dyDescent="0.25">
      <c r="A47" s="29" t="s">
        <v>42</v>
      </c>
      <c r="B47" s="50">
        <v>3287</v>
      </c>
      <c r="C47" s="50">
        <v>3805</v>
      </c>
      <c r="D47" s="51">
        <v>7092</v>
      </c>
      <c r="E47" s="55">
        <v>53.65200225606317</v>
      </c>
      <c r="F47" s="56"/>
      <c r="G47" s="50">
        <v>1496</v>
      </c>
      <c r="H47" s="50">
        <v>1686</v>
      </c>
      <c r="I47" s="51">
        <v>3182</v>
      </c>
      <c r="J47" s="55">
        <v>52.985543683218104</v>
      </c>
      <c r="K47" s="56"/>
      <c r="L47" s="61">
        <f t="shared" si="0"/>
        <v>45.512625494371768</v>
      </c>
      <c r="M47" s="61">
        <f t="shared" si="1"/>
        <v>44.310118265440209</v>
      </c>
      <c r="N47" s="61">
        <f t="shared" si="2"/>
        <v>44.867456288776083</v>
      </c>
      <c r="P47" s="44"/>
    </row>
    <row r="48" spans="1:16" ht="12" customHeight="1" x14ac:dyDescent="0.25">
      <c r="A48" s="29" t="s">
        <v>43</v>
      </c>
      <c r="B48" s="50">
        <v>723</v>
      </c>
      <c r="C48" s="50">
        <v>802</v>
      </c>
      <c r="D48" s="51">
        <v>1525</v>
      </c>
      <c r="E48" s="55">
        <v>52.590163934426229</v>
      </c>
      <c r="F48" s="56"/>
      <c r="G48" s="50">
        <v>380</v>
      </c>
      <c r="H48" s="50">
        <v>396</v>
      </c>
      <c r="I48" s="51">
        <v>776</v>
      </c>
      <c r="J48" s="55">
        <v>51.03092783505155</v>
      </c>
      <c r="K48" s="56"/>
      <c r="L48" s="61">
        <f t="shared" si="0"/>
        <v>52.558782849239279</v>
      </c>
      <c r="M48" s="61">
        <f t="shared" si="1"/>
        <v>49.376558603491269</v>
      </c>
      <c r="N48" s="61">
        <f t="shared" si="2"/>
        <v>50.885245901639344</v>
      </c>
      <c r="P48" s="44"/>
    </row>
    <row r="49" spans="1:16" ht="12" customHeight="1" x14ac:dyDescent="0.25">
      <c r="A49" s="29" t="s">
        <v>44</v>
      </c>
      <c r="B49" s="50">
        <v>224</v>
      </c>
      <c r="C49" s="50">
        <v>258</v>
      </c>
      <c r="D49" s="51">
        <v>482</v>
      </c>
      <c r="E49" s="55">
        <v>53.526970954356848</v>
      </c>
      <c r="F49" s="56"/>
      <c r="G49" s="50">
        <v>108</v>
      </c>
      <c r="H49" s="50">
        <v>122</v>
      </c>
      <c r="I49" s="51">
        <v>230</v>
      </c>
      <c r="J49" s="55">
        <v>53.043478260869563</v>
      </c>
      <c r="K49" s="56"/>
      <c r="L49" s="61">
        <f t="shared" si="0"/>
        <v>48.214285714285715</v>
      </c>
      <c r="M49" s="61">
        <f t="shared" si="1"/>
        <v>47.286821705426355</v>
      </c>
      <c r="N49" s="61">
        <f t="shared" si="2"/>
        <v>47.717842323651453</v>
      </c>
      <c r="P49" s="44"/>
    </row>
    <row r="50" spans="1:16" ht="20.100000000000001" customHeight="1" x14ac:dyDescent="0.25">
      <c r="A50" s="29" t="s">
        <v>45</v>
      </c>
      <c r="B50" s="50">
        <v>678</v>
      </c>
      <c r="C50" s="50">
        <v>836</v>
      </c>
      <c r="D50" s="51">
        <v>1514</v>
      </c>
      <c r="E50" s="55">
        <v>55.217965653896961</v>
      </c>
      <c r="F50" s="56"/>
      <c r="G50" s="50">
        <v>338</v>
      </c>
      <c r="H50" s="50">
        <v>373</v>
      </c>
      <c r="I50" s="51">
        <v>711</v>
      </c>
      <c r="J50" s="55">
        <v>52.461322081575247</v>
      </c>
      <c r="K50" s="56"/>
      <c r="L50" s="61">
        <f t="shared" si="0"/>
        <v>49.852507374631266</v>
      </c>
      <c r="M50" s="61">
        <f t="shared" si="1"/>
        <v>44.617224880382778</v>
      </c>
      <c r="N50" s="61">
        <f t="shared" si="2"/>
        <v>46.961690885072656</v>
      </c>
      <c r="P50" s="44"/>
    </row>
    <row r="51" spans="1:16" ht="12" customHeight="1" x14ac:dyDescent="0.25">
      <c r="A51" s="29" t="s">
        <v>46</v>
      </c>
      <c r="B51" s="50">
        <v>163</v>
      </c>
      <c r="C51" s="50">
        <v>165</v>
      </c>
      <c r="D51" s="51">
        <v>328</v>
      </c>
      <c r="E51" s="55">
        <v>50.304878048780488</v>
      </c>
      <c r="F51" s="56"/>
      <c r="G51" s="50">
        <v>96</v>
      </c>
      <c r="H51" s="50">
        <v>94</v>
      </c>
      <c r="I51" s="51">
        <v>190</v>
      </c>
      <c r="J51" s="55">
        <v>49.473684210526315</v>
      </c>
      <c r="K51" s="56"/>
      <c r="L51" s="61">
        <f t="shared" si="0"/>
        <v>58.895705521472394</v>
      </c>
      <c r="M51" s="61">
        <f t="shared" si="1"/>
        <v>56.969696969696969</v>
      </c>
      <c r="N51" s="61">
        <f t="shared" si="2"/>
        <v>57.926829268292686</v>
      </c>
      <c r="P51" s="44"/>
    </row>
    <row r="52" spans="1:16" ht="12" customHeight="1" x14ac:dyDescent="0.25">
      <c r="A52" s="29" t="s">
        <v>47</v>
      </c>
      <c r="B52" s="50">
        <v>1170</v>
      </c>
      <c r="C52" s="50">
        <v>1266</v>
      </c>
      <c r="D52" s="51">
        <v>2436</v>
      </c>
      <c r="E52" s="55">
        <v>51.970443349753694</v>
      </c>
      <c r="F52" s="56"/>
      <c r="G52" s="50">
        <v>564</v>
      </c>
      <c r="H52" s="50">
        <v>567</v>
      </c>
      <c r="I52" s="51">
        <v>1131</v>
      </c>
      <c r="J52" s="55">
        <v>50.132625994694962</v>
      </c>
      <c r="K52" s="56"/>
      <c r="L52" s="61">
        <f t="shared" si="0"/>
        <v>48.205128205128204</v>
      </c>
      <c r="M52" s="61">
        <f t="shared" si="1"/>
        <v>44.786729857819907</v>
      </c>
      <c r="N52" s="61">
        <f t="shared" si="2"/>
        <v>46.428571428571431</v>
      </c>
      <c r="P52" s="44"/>
    </row>
    <row r="53" spans="1:16" ht="12" customHeight="1" x14ac:dyDescent="0.25">
      <c r="A53" s="29" t="s">
        <v>48</v>
      </c>
      <c r="B53" s="50">
        <v>290</v>
      </c>
      <c r="C53" s="50">
        <v>306</v>
      </c>
      <c r="D53" s="51">
        <v>596</v>
      </c>
      <c r="E53" s="55">
        <v>51.34228187919463</v>
      </c>
      <c r="F53" s="56"/>
      <c r="G53" s="50">
        <v>146</v>
      </c>
      <c r="H53" s="50">
        <v>140</v>
      </c>
      <c r="I53" s="51">
        <v>286</v>
      </c>
      <c r="J53" s="55">
        <v>48.951048951048953</v>
      </c>
      <c r="K53" s="56"/>
      <c r="L53" s="61">
        <f t="shared" si="0"/>
        <v>50.344827586206897</v>
      </c>
      <c r="M53" s="61">
        <f t="shared" si="1"/>
        <v>45.751633986928105</v>
      </c>
      <c r="N53" s="61">
        <f t="shared" si="2"/>
        <v>47.986577181208055</v>
      </c>
      <c r="P53" s="44"/>
    </row>
    <row r="54" spans="1:16" s="34" customFormat="1" ht="12" customHeight="1" x14ac:dyDescent="0.25">
      <c r="A54" s="35" t="s">
        <v>49</v>
      </c>
      <c r="B54" s="50">
        <v>3813</v>
      </c>
      <c r="C54" s="50">
        <v>4541</v>
      </c>
      <c r="D54" s="51">
        <v>8354</v>
      </c>
      <c r="E54" s="55">
        <v>54.357194158486955</v>
      </c>
      <c r="F54" s="57"/>
      <c r="G54" s="50">
        <v>1668</v>
      </c>
      <c r="H54" s="50">
        <v>1874</v>
      </c>
      <c r="I54" s="51">
        <v>3542</v>
      </c>
      <c r="J54" s="55">
        <v>52.907961603613778</v>
      </c>
      <c r="K54" s="57"/>
      <c r="L54" s="61">
        <f t="shared" si="0"/>
        <v>43.745082612116441</v>
      </c>
      <c r="M54" s="61">
        <f t="shared" si="1"/>
        <v>41.268443074212726</v>
      </c>
      <c r="N54" s="61">
        <f t="shared" si="2"/>
        <v>42.39885084989227</v>
      </c>
      <c r="P54" s="44"/>
    </row>
    <row r="55" spans="1:16" ht="20.100000000000001" customHeight="1" x14ac:dyDescent="0.25">
      <c r="A55" s="29" t="s">
        <v>50</v>
      </c>
      <c r="B55" s="50">
        <v>768</v>
      </c>
      <c r="C55" s="50">
        <v>860</v>
      </c>
      <c r="D55" s="51">
        <v>1628</v>
      </c>
      <c r="E55" s="55">
        <v>52.825552825552826</v>
      </c>
      <c r="F55" s="56"/>
      <c r="G55" s="50">
        <v>414</v>
      </c>
      <c r="H55" s="50">
        <v>424</v>
      </c>
      <c r="I55" s="51">
        <v>838</v>
      </c>
      <c r="J55" s="55">
        <v>50.596658711217181</v>
      </c>
      <c r="K55" s="56"/>
      <c r="L55" s="61">
        <f t="shared" si="0"/>
        <v>53.90625</v>
      </c>
      <c r="M55" s="61">
        <f t="shared" si="1"/>
        <v>49.302325581395351</v>
      </c>
      <c r="N55" s="61">
        <f t="shared" si="2"/>
        <v>51.474201474201472</v>
      </c>
      <c r="P55" s="44"/>
    </row>
    <row r="56" spans="1:16" ht="12" customHeight="1" x14ac:dyDescent="0.25">
      <c r="A56" s="29" t="s">
        <v>51</v>
      </c>
      <c r="B56" s="50">
        <v>738</v>
      </c>
      <c r="C56" s="50">
        <v>812</v>
      </c>
      <c r="D56" s="51">
        <v>1550</v>
      </c>
      <c r="E56" s="55">
        <v>52.387096774193552</v>
      </c>
      <c r="F56" s="56"/>
      <c r="G56" s="50">
        <v>443</v>
      </c>
      <c r="H56" s="50">
        <v>452</v>
      </c>
      <c r="I56" s="51">
        <v>895</v>
      </c>
      <c r="J56" s="55">
        <v>50.502793296089386</v>
      </c>
      <c r="K56" s="56"/>
      <c r="L56" s="61">
        <f t="shared" si="0"/>
        <v>60.027100271002709</v>
      </c>
      <c r="M56" s="61">
        <f t="shared" si="1"/>
        <v>55.665024630541872</v>
      </c>
      <c r="N56" s="61">
        <f t="shared" si="2"/>
        <v>57.741935483870968</v>
      </c>
      <c r="P56" s="44"/>
    </row>
    <row r="57" spans="1:16" s="34" customFormat="1" ht="12" customHeight="1" x14ac:dyDescent="0.25">
      <c r="A57" s="35" t="s">
        <v>52</v>
      </c>
      <c r="B57" s="50">
        <v>7424</v>
      </c>
      <c r="C57" s="50">
        <v>8425</v>
      </c>
      <c r="D57" s="51">
        <v>15849</v>
      </c>
      <c r="E57" s="55">
        <v>53.157927944980756</v>
      </c>
      <c r="F57" s="57"/>
      <c r="G57" s="50">
        <v>2545</v>
      </c>
      <c r="H57" s="50">
        <v>2703</v>
      </c>
      <c r="I57" s="51">
        <v>5248</v>
      </c>
      <c r="J57" s="55">
        <v>51.505335365853661</v>
      </c>
      <c r="K57" s="57"/>
      <c r="L57" s="61">
        <f t="shared" si="0"/>
        <v>34.280711206896555</v>
      </c>
      <c r="M57" s="61">
        <f t="shared" si="1"/>
        <v>32.083086053412465</v>
      </c>
      <c r="N57" s="61">
        <f t="shared" si="2"/>
        <v>33.112499211306705</v>
      </c>
      <c r="P57" s="44"/>
    </row>
    <row r="58" spans="1:16" ht="12" customHeight="1" x14ac:dyDescent="0.25">
      <c r="A58" s="29" t="s">
        <v>53</v>
      </c>
      <c r="B58" s="50">
        <v>2715</v>
      </c>
      <c r="C58" s="50">
        <v>3299</v>
      </c>
      <c r="D58" s="51">
        <v>6014</v>
      </c>
      <c r="E58" s="55">
        <v>54.855337545726641</v>
      </c>
      <c r="F58" s="56"/>
      <c r="G58" s="50">
        <v>1082</v>
      </c>
      <c r="H58" s="50">
        <v>1271</v>
      </c>
      <c r="I58" s="51">
        <v>2353</v>
      </c>
      <c r="J58" s="55">
        <v>54.016149596260092</v>
      </c>
      <c r="K58" s="56"/>
      <c r="L58" s="61">
        <f t="shared" si="0"/>
        <v>39.852670349907918</v>
      </c>
      <c r="M58" s="61">
        <f t="shared" si="1"/>
        <v>38.526826311003333</v>
      </c>
      <c r="N58" s="61">
        <f t="shared" si="2"/>
        <v>39.125374127036913</v>
      </c>
      <c r="P58" s="44"/>
    </row>
    <row r="59" spans="1:16" s="34" customFormat="1" ht="12" customHeight="1" x14ac:dyDescent="0.25">
      <c r="A59" s="35" t="s">
        <v>54</v>
      </c>
      <c r="B59" s="50">
        <v>3162</v>
      </c>
      <c r="C59" s="50">
        <v>3532</v>
      </c>
      <c r="D59" s="51">
        <v>6694</v>
      </c>
      <c r="E59" s="55">
        <v>52.763668957275172</v>
      </c>
      <c r="F59" s="57"/>
      <c r="G59" s="50">
        <v>1658</v>
      </c>
      <c r="H59" s="50">
        <v>1681</v>
      </c>
      <c r="I59" s="51">
        <v>3339</v>
      </c>
      <c r="J59" s="55">
        <v>50.344414495357888</v>
      </c>
      <c r="K59" s="57"/>
      <c r="L59" s="61">
        <f t="shared" si="0"/>
        <v>52.435167615433272</v>
      </c>
      <c r="M59" s="61">
        <f t="shared" si="1"/>
        <v>47.593431483578712</v>
      </c>
      <c r="N59" s="61">
        <f t="shared" si="2"/>
        <v>49.880489991036747</v>
      </c>
      <c r="P59" s="44"/>
    </row>
    <row r="60" spans="1:16" s="36" customFormat="1" ht="20.100000000000001" customHeight="1" x14ac:dyDescent="0.25">
      <c r="A60" s="37" t="s">
        <v>55</v>
      </c>
      <c r="B60" s="54">
        <v>111564</v>
      </c>
      <c r="C60" s="54">
        <v>131787</v>
      </c>
      <c r="D60" s="53">
        <v>243351</v>
      </c>
      <c r="E60" s="59">
        <v>54.15510928658604</v>
      </c>
      <c r="F60" s="58"/>
      <c r="G60" s="54">
        <v>48529</v>
      </c>
      <c r="H60" s="54">
        <v>54908</v>
      </c>
      <c r="I60" s="53">
        <v>103437</v>
      </c>
      <c r="J60" s="59">
        <v>53.08351943695196</v>
      </c>
      <c r="K60" s="58"/>
      <c r="L60" s="62">
        <f t="shared" si="0"/>
        <v>43.498798895701121</v>
      </c>
      <c r="M60" s="62">
        <f t="shared" si="1"/>
        <v>41.664200566064935</v>
      </c>
      <c r="N60" s="62">
        <f t="shared" si="2"/>
        <v>42.505270165316766</v>
      </c>
      <c r="P60" s="45"/>
    </row>
    <row r="61" spans="1:16" s="36" customFormat="1" ht="20.100000000000001" customHeight="1" x14ac:dyDescent="0.25">
      <c r="A61" s="35" t="s">
        <v>57</v>
      </c>
      <c r="B61" s="50">
        <v>15170</v>
      </c>
      <c r="C61" s="50">
        <v>17880</v>
      </c>
      <c r="D61" s="51">
        <v>33050</v>
      </c>
      <c r="E61" s="55">
        <v>54.099848714069594</v>
      </c>
      <c r="F61" s="57"/>
      <c r="G61" s="50">
        <v>3553</v>
      </c>
      <c r="H61" s="50">
        <v>3882</v>
      </c>
      <c r="I61" s="51">
        <v>7435</v>
      </c>
      <c r="J61" s="55">
        <v>52.212508406186956</v>
      </c>
      <c r="K61" s="57"/>
      <c r="L61" s="61">
        <f t="shared" si="0"/>
        <v>23.421226104152932</v>
      </c>
      <c r="M61" s="61">
        <f t="shared" si="1"/>
        <v>21.711409395973153</v>
      </c>
      <c r="N61" s="61">
        <f t="shared" si="2"/>
        <v>22.496217851739789</v>
      </c>
      <c r="P61" s="44"/>
    </row>
    <row r="62" spans="1:16" ht="20.100000000000001" customHeight="1" x14ac:dyDescent="0.25">
      <c r="A62" s="37" t="s">
        <v>8</v>
      </c>
      <c r="B62" s="52">
        <v>126734</v>
      </c>
      <c r="C62" s="52">
        <v>149667</v>
      </c>
      <c r="D62" s="53">
        <v>276401</v>
      </c>
      <c r="E62" s="59">
        <v>54.148501633496259</v>
      </c>
      <c r="F62" s="60"/>
      <c r="G62" s="52">
        <v>52082</v>
      </c>
      <c r="H62" s="52">
        <v>58790</v>
      </c>
      <c r="I62" s="53">
        <v>110872</v>
      </c>
      <c r="J62" s="59">
        <v>53.025110036799191</v>
      </c>
      <c r="K62" s="60"/>
      <c r="L62" s="62">
        <f t="shared" si="0"/>
        <v>41.095522906244575</v>
      </c>
      <c r="M62" s="62">
        <f t="shared" si="1"/>
        <v>39.280536123527561</v>
      </c>
      <c r="N62" s="62">
        <f t="shared" si="2"/>
        <v>40.112734758557316</v>
      </c>
      <c r="P62" s="45"/>
    </row>
    <row r="63" spans="1:16" ht="20.100000000000001" customHeight="1" x14ac:dyDescent="0.25">
      <c r="A63" s="35" t="s">
        <v>60</v>
      </c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2" customHeight="1" x14ac:dyDescent="0.25">
      <c r="A64" s="35" t="s">
        <v>61</v>
      </c>
      <c r="B64" s="48"/>
      <c r="C64" s="48"/>
      <c r="D64" s="45"/>
      <c r="E64" s="46"/>
      <c r="F64" s="49"/>
      <c r="G64" s="48"/>
      <c r="H64" s="48"/>
      <c r="I64" s="45"/>
      <c r="J64" s="46"/>
      <c r="K64" s="49"/>
      <c r="L64" s="47"/>
      <c r="M64" s="47"/>
      <c r="N64" s="47"/>
      <c r="P64" s="45"/>
    </row>
    <row r="65" spans="1:14" ht="18" customHeight="1" x14ac:dyDescent="0.25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63" t="s">
        <v>67</v>
      </c>
    </row>
    <row r="66" spans="1:14" ht="5.0999999999999996" customHeight="1" x14ac:dyDescent="0.25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ignoredErrors>
    <ignoredError sqref="L22:N62 L15 L16:N21 M15:N15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6D9F-8138-4B3F-88C1-46869B9D842C}">
  <dimension ref="A1:P66"/>
  <sheetViews>
    <sheetView workbookViewId="0">
      <selection activeCell="O1" sqref="O1"/>
    </sheetView>
  </sheetViews>
  <sheetFormatPr baseColWidth="10" defaultColWidth="11.19921875" defaultRowHeight="12.75" x14ac:dyDescent="0.25"/>
  <cols>
    <col min="1" max="1" width="33.79687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25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3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50000000000003" customHeight="1" x14ac:dyDescent="0.25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25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63</v>
      </c>
    </row>
    <row r="5" spans="1:16" ht="15.95" customHeight="1" x14ac:dyDescent="0.25">
      <c r="A5" s="18" t="s">
        <v>64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5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5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5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5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5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5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5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5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5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5">
      <c r="A15" s="29" t="s">
        <v>10</v>
      </c>
      <c r="B15" s="50">
        <v>368</v>
      </c>
      <c r="C15" s="50">
        <v>380</v>
      </c>
      <c r="D15" s="51">
        <v>748</v>
      </c>
      <c r="E15" s="55">
        <v>50.802139037433157</v>
      </c>
      <c r="F15" s="56"/>
      <c r="G15" s="50">
        <v>164</v>
      </c>
      <c r="H15" s="50">
        <v>177</v>
      </c>
      <c r="I15" s="51">
        <v>341</v>
      </c>
      <c r="J15" s="55">
        <f>100*H15/I15</f>
        <v>51.906158357771261</v>
      </c>
      <c r="K15" s="56"/>
      <c r="L15" s="61">
        <v>44.565217391304351</v>
      </c>
      <c r="M15" s="61">
        <v>46.578947368421055</v>
      </c>
      <c r="N15" s="61">
        <v>45.588235294117645</v>
      </c>
      <c r="P15" s="44"/>
    </row>
    <row r="16" spans="1:16" ht="12" customHeight="1" x14ac:dyDescent="0.25">
      <c r="A16" s="29" t="s">
        <v>11</v>
      </c>
      <c r="B16" s="50">
        <v>642</v>
      </c>
      <c r="C16" s="50">
        <v>717</v>
      </c>
      <c r="D16" s="51">
        <v>1359</v>
      </c>
      <c r="E16" s="55">
        <v>52.759381898454748</v>
      </c>
      <c r="F16" s="56"/>
      <c r="G16" s="50">
        <v>358</v>
      </c>
      <c r="H16" s="50">
        <v>366</v>
      </c>
      <c r="I16" s="51">
        <v>724</v>
      </c>
      <c r="J16" s="55">
        <f t="shared" ref="J16:J62" si="0">100*H16/I16</f>
        <v>50.552486187845304</v>
      </c>
      <c r="K16" s="56"/>
      <c r="L16" s="61">
        <v>55.763239875389409</v>
      </c>
      <c r="M16" s="61">
        <v>51.046025104602514</v>
      </c>
      <c r="N16" s="61">
        <v>53.274466519499633</v>
      </c>
      <c r="P16" s="44"/>
    </row>
    <row r="17" spans="1:16" ht="12" customHeight="1" x14ac:dyDescent="0.25">
      <c r="A17" s="29" t="s">
        <v>12</v>
      </c>
      <c r="B17" s="50">
        <v>518</v>
      </c>
      <c r="C17" s="50">
        <v>553</v>
      </c>
      <c r="D17" s="51">
        <v>1071</v>
      </c>
      <c r="E17" s="55">
        <v>51.633986928104576</v>
      </c>
      <c r="F17" s="56"/>
      <c r="G17" s="50">
        <v>192</v>
      </c>
      <c r="H17" s="50">
        <v>220</v>
      </c>
      <c r="I17" s="51">
        <v>412</v>
      </c>
      <c r="J17" s="55">
        <f t="shared" si="0"/>
        <v>53.398058252427184</v>
      </c>
      <c r="K17" s="56"/>
      <c r="L17" s="61">
        <v>37.065637065637063</v>
      </c>
      <c r="M17" s="61">
        <v>39.783001808318261</v>
      </c>
      <c r="N17" s="61">
        <v>38.468720821661996</v>
      </c>
      <c r="P17" s="44"/>
    </row>
    <row r="18" spans="1:16" ht="12" customHeight="1" x14ac:dyDescent="0.25">
      <c r="A18" s="29" t="s">
        <v>13</v>
      </c>
      <c r="B18" s="50">
        <v>496</v>
      </c>
      <c r="C18" s="50">
        <v>519</v>
      </c>
      <c r="D18" s="51">
        <v>1015</v>
      </c>
      <c r="E18" s="55">
        <v>51.133004926108377</v>
      </c>
      <c r="F18" s="56"/>
      <c r="G18" s="50">
        <v>239</v>
      </c>
      <c r="H18" s="50">
        <v>267</v>
      </c>
      <c r="I18" s="51">
        <v>506</v>
      </c>
      <c r="J18" s="55">
        <f t="shared" si="0"/>
        <v>52.766798418972328</v>
      </c>
      <c r="K18" s="56"/>
      <c r="L18" s="61">
        <v>48.185483870967744</v>
      </c>
      <c r="M18" s="61">
        <v>51.445086705202314</v>
      </c>
      <c r="N18" s="61">
        <v>49.85221674876847</v>
      </c>
      <c r="P18" s="44"/>
    </row>
    <row r="19" spans="1:16" ht="12" customHeight="1" x14ac:dyDescent="0.25">
      <c r="A19" s="29" t="s">
        <v>14</v>
      </c>
      <c r="B19" s="50">
        <v>700</v>
      </c>
      <c r="C19" s="50">
        <v>813</v>
      </c>
      <c r="D19" s="51">
        <v>1513</v>
      </c>
      <c r="E19" s="55">
        <v>53.734302709847981</v>
      </c>
      <c r="F19" s="56"/>
      <c r="G19" s="50">
        <v>348</v>
      </c>
      <c r="H19" s="50">
        <v>374</v>
      </c>
      <c r="I19" s="51">
        <v>722</v>
      </c>
      <c r="J19" s="55">
        <f t="shared" si="0"/>
        <v>51.800554016620495</v>
      </c>
      <c r="K19" s="56"/>
      <c r="L19" s="61">
        <v>49.714285714285715</v>
      </c>
      <c r="M19" s="61">
        <v>46.002460024600246</v>
      </c>
      <c r="N19" s="61">
        <v>47.719762062128225</v>
      </c>
      <c r="P19" s="44"/>
    </row>
    <row r="20" spans="1:16" ht="20.100000000000001" customHeight="1" x14ac:dyDescent="0.25">
      <c r="A20" s="29" t="s">
        <v>15</v>
      </c>
      <c r="B20" s="50">
        <v>912</v>
      </c>
      <c r="C20" s="50">
        <v>1034</v>
      </c>
      <c r="D20" s="51">
        <v>1946</v>
      </c>
      <c r="E20" s="55">
        <v>53.134635149023637</v>
      </c>
      <c r="F20" s="56"/>
      <c r="G20" s="50">
        <v>333</v>
      </c>
      <c r="H20" s="50">
        <v>388</v>
      </c>
      <c r="I20" s="51">
        <v>721</v>
      </c>
      <c r="J20" s="55">
        <f t="shared" si="0"/>
        <v>53.814147018030511</v>
      </c>
      <c r="K20" s="56"/>
      <c r="L20" s="61">
        <v>36.513157894736842</v>
      </c>
      <c r="M20" s="61">
        <v>37.524177949709866</v>
      </c>
      <c r="N20" s="61">
        <v>37.050359712230218</v>
      </c>
      <c r="P20" s="44"/>
    </row>
    <row r="21" spans="1:16" ht="12" customHeight="1" x14ac:dyDescent="0.25">
      <c r="A21" s="29" t="s">
        <v>16</v>
      </c>
      <c r="B21" s="50">
        <v>3033</v>
      </c>
      <c r="C21" s="50">
        <v>3394</v>
      </c>
      <c r="D21" s="51">
        <v>6427</v>
      </c>
      <c r="E21" s="55">
        <v>52.8084642912712</v>
      </c>
      <c r="F21" s="56"/>
      <c r="G21" s="50">
        <v>1355</v>
      </c>
      <c r="H21" s="50">
        <v>1413</v>
      </c>
      <c r="I21" s="51">
        <v>2768</v>
      </c>
      <c r="J21" s="55">
        <f t="shared" si="0"/>
        <v>51.047687861271676</v>
      </c>
      <c r="K21" s="56"/>
      <c r="L21" s="61">
        <v>44.675239037256844</v>
      </c>
      <c r="M21" s="61">
        <v>41.632292280494994</v>
      </c>
      <c r="N21" s="61">
        <v>43.068305585809867</v>
      </c>
      <c r="P21" s="44"/>
    </row>
    <row r="22" spans="1:16" ht="12" customHeight="1" x14ac:dyDescent="0.25">
      <c r="A22" s="29" t="s">
        <v>17</v>
      </c>
      <c r="B22" s="50">
        <v>4969</v>
      </c>
      <c r="C22" s="50">
        <v>6169</v>
      </c>
      <c r="D22" s="51">
        <v>11138</v>
      </c>
      <c r="E22" s="55">
        <v>55.386963548213323</v>
      </c>
      <c r="F22" s="56"/>
      <c r="G22" s="50">
        <v>1867</v>
      </c>
      <c r="H22" s="50">
        <v>2321</v>
      </c>
      <c r="I22" s="51">
        <v>4188</v>
      </c>
      <c r="J22" s="55">
        <f t="shared" si="0"/>
        <v>55.420248328557783</v>
      </c>
      <c r="K22" s="56"/>
      <c r="L22" s="61">
        <v>37.572952304286574</v>
      </c>
      <c r="M22" s="61">
        <v>37.623601880369591</v>
      </c>
      <c r="N22" s="61">
        <v>37.601005566528997</v>
      </c>
      <c r="P22" s="44"/>
    </row>
    <row r="23" spans="1:16" ht="12" customHeight="1" x14ac:dyDescent="0.25">
      <c r="A23" s="29" t="s">
        <v>18</v>
      </c>
      <c r="B23" s="50">
        <v>319</v>
      </c>
      <c r="C23" s="50">
        <v>323</v>
      </c>
      <c r="D23" s="51">
        <v>642</v>
      </c>
      <c r="E23" s="55">
        <v>50.311526479750782</v>
      </c>
      <c r="F23" s="56"/>
      <c r="G23" s="50">
        <v>159</v>
      </c>
      <c r="H23" s="50">
        <v>154</v>
      </c>
      <c r="I23" s="51">
        <v>313</v>
      </c>
      <c r="J23" s="55">
        <f t="shared" si="0"/>
        <v>49.201277955271564</v>
      </c>
      <c r="K23" s="56"/>
      <c r="L23" s="61">
        <v>49.843260188087775</v>
      </c>
      <c r="M23" s="61">
        <v>47.678018575851397</v>
      </c>
      <c r="N23" s="61">
        <v>48.753894080996886</v>
      </c>
      <c r="P23" s="44"/>
    </row>
    <row r="24" spans="1:16" ht="12" customHeight="1" x14ac:dyDescent="0.25">
      <c r="A24" s="29" t="s">
        <v>19</v>
      </c>
      <c r="B24" s="50">
        <v>196</v>
      </c>
      <c r="C24" s="50">
        <v>231</v>
      </c>
      <c r="D24" s="51">
        <v>427</v>
      </c>
      <c r="E24" s="55">
        <v>54.098360655737707</v>
      </c>
      <c r="F24" s="56"/>
      <c r="G24" s="50">
        <v>74</v>
      </c>
      <c r="H24" s="50">
        <v>94</v>
      </c>
      <c r="I24" s="51">
        <v>168</v>
      </c>
      <c r="J24" s="55">
        <f t="shared" si="0"/>
        <v>55.952380952380949</v>
      </c>
      <c r="K24" s="56"/>
      <c r="L24" s="61">
        <v>37.755102040816325</v>
      </c>
      <c r="M24" s="61">
        <v>40.692640692640694</v>
      </c>
      <c r="N24" s="61">
        <v>39.344262295081968</v>
      </c>
      <c r="P24" s="44"/>
    </row>
    <row r="25" spans="1:16" ht="20.100000000000001" customHeight="1" x14ac:dyDescent="0.25">
      <c r="A25" s="29" t="s">
        <v>20</v>
      </c>
      <c r="B25" s="50">
        <v>480</v>
      </c>
      <c r="C25" s="50">
        <v>461</v>
      </c>
      <c r="D25" s="51">
        <v>941</v>
      </c>
      <c r="E25" s="55">
        <v>48.990435706695003</v>
      </c>
      <c r="F25" s="56"/>
      <c r="G25" s="50">
        <v>163</v>
      </c>
      <c r="H25" s="50">
        <v>150</v>
      </c>
      <c r="I25" s="51">
        <v>313</v>
      </c>
      <c r="J25" s="55">
        <f t="shared" si="0"/>
        <v>47.923322683706068</v>
      </c>
      <c r="K25" s="56"/>
      <c r="L25" s="61">
        <v>33.958333333333336</v>
      </c>
      <c r="M25" s="61">
        <v>32.537960954446852</v>
      </c>
      <c r="N25" s="61">
        <v>33.262486716259296</v>
      </c>
      <c r="P25" s="44"/>
    </row>
    <row r="26" spans="1:16" s="34" customFormat="1" ht="12" customHeight="1" x14ac:dyDescent="0.25">
      <c r="A26" s="35" t="s">
        <v>21</v>
      </c>
      <c r="B26" s="50">
        <v>3056</v>
      </c>
      <c r="C26" s="50">
        <v>3715</v>
      </c>
      <c r="D26" s="51">
        <v>6771</v>
      </c>
      <c r="E26" s="55">
        <v>54.866341751587655</v>
      </c>
      <c r="F26" s="57"/>
      <c r="G26" s="50">
        <v>1448</v>
      </c>
      <c r="H26" s="50">
        <v>1654</v>
      </c>
      <c r="I26" s="51">
        <v>3102</v>
      </c>
      <c r="J26" s="55">
        <f t="shared" si="0"/>
        <v>53.320438426821404</v>
      </c>
      <c r="K26" s="57"/>
      <c r="L26" s="61">
        <v>47.382198952879584</v>
      </c>
      <c r="M26" s="61">
        <v>44.52220726783311</v>
      </c>
      <c r="N26" s="61">
        <v>45.813026140894991</v>
      </c>
      <c r="P26" s="44"/>
    </row>
    <row r="27" spans="1:16" ht="12" customHeight="1" x14ac:dyDescent="0.25">
      <c r="A27" s="29" t="s">
        <v>22</v>
      </c>
      <c r="B27" s="50">
        <v>1951</v>
      </c>
      <c r="C27" s="50">
        <v>2394</v>
      </c>
      <c r="D27" s="51">
        <v>4345</v>
      </c>
      <c r="E27" s="55">
        <v>55.097813578826234</v>
      </c>
      <c r="F27" s="56"/>
      <c r="G27" s="50">
        <v>744</v>
      </c>
      <c r="H27" s="50">
        <v>897</v>
      </c>
      <c r="I27" s="51">
        <v>1641</v>
      </c>
      <c r="J27" s="55">
        <f t="shared" si="0"/>
        <v>54.6617915904936</v>
      </c>
      <c r="K27" s="56"/>
      <c r="L27" s="61">
        <v>38.134290107637106</v>
      </c>
      <c r="M27" s="61">
        <v>37.468671679197996</v>
      </c>
      <c r="N27" s="61">
        <v>37.767548906789415</v>
      </c>
      <c r="P27" s="44"/>
    </row>
    <row r="28" spans="1:16" ht="12" customHeight="1" x14ac:dyDescent="0.25">
      <c r="A28" s="29" t="s">
        <v>23</v>
      </c>
      <c r="B28" s="50">
        <v>349</v>
      </c>
      <c r="C28" s="50">
        <v>408</v>
      </c>
      <c r="D28" s="51">
        <v>757</v>
      </c>
      <c r="E28" s="55">
        <v>53.896961690885071</v>
      </c>
      <c r="F28" s="56"/>
      <c r="G28" s="50">
        <v>196</v>
      </c>
      <c r="H28" s="50">
        <v>221</v>
      </c>
      <c r="I28" s="51">
        <v>417</v>
      </c>
      <c r="J28" s="55">
        <f t="shared" si="0"/>
        <v>52.997601918465229</v>
      </c>
      <c r="K28" s="56"/>
      <c r="L28" s="61">
        <v>56.160458452722061</v>
      </c>
      <c r="M28" s="61">
        <v>54.166666666666664</v>
      </c>
      <c r="N28" s="61">
        <v>55.085865257595771</v>
      </c>
      <c r="P28" s="44"/>
    </row>
    <row r="29" spans="1:16" ht="12" customHeight="1" x14ac:dyDescent="0.25">
      <c r="A29" s="29" t="s">
        <v>24</v>
      </c>
      <c r="B29" s="50">
        <v>427</v>
      </c>
      <c r="C29" s="50">
        <v>468</v>
      </c>
      <c r="D29" s="51">
        <v>895</v>
      </c>
      <c r="E29" s="55">
        <v>52.290502793296092</v>
      </c>
      <c r="F29" s="56"/>
      <c r="G29" s="50">
        <v>184</v>
      </c>
      <c r="H29" s="50">
        <v>200</v>
      </c>
      <c r="I29" s="51">
        <v>384</v>
      </c>
      <c r="J29" s="55">
        <f t="shared" si="0"/>
        <v>52.083333333333336</v>
      </c>
      <c r="K29" s="56"/>
      <c r="L29" s="61">
        <v>43.091334894613581</v>
      </c>
      <c r="M29" s="61">
        <v>42.735042735042732</v>
      </c>
      <c r="N29" s="61">
        <v>42.905027932960891</v>
      </c>
      <c r="P29" s="44"/>
    </row>
    <row r="30" spans="1:16" s="34" customFormat="1" ht="20.100000000000001" customHeight="1" x14ac:dyDescent="0.25">
      <c r="A30" s="35" t="s">
        <v>25</v>
      </c>
      <c r="B30" s="50">
        <v>2189</v>
      </c>
      <c r="C30" s="50">
        <v>2545</v>
      </c>
      <c r="D30" s="51">
        <v>4734</v>
      </c>
      <c r="E30" s="55">
        <v>53.760033798056611</v>
      </c>
      <c r="F30" s="57"/>
      <c r="G30" s="50">
        <v>1185</v>
      </c>
      <c r="H30" s="50">
        <v>1281</v>
      </c>
      <c r="I30" s="51">
        <v>2466</v>
      </c>
      <c r="J30" s="55">
        <f t="shared" si="0"/>
        <v>51.946472019464721</v>
      </c>
      <c r="K30" s="57"/>
      <c r="L30" s="61">
        <v>54.134307903152127</v>
      </c>
      <c r="M30" s="61">
        <v>50.333988212180749</v>
      </c>
      <c r="N30" s="61">
        <v>52.091254752851711</v>
      </c>
      <c r="P30" s="44"/>
    </row>
    <row r="31" spans="1:16" ht="12" customHeight="1" x14ac:dyDescent="0.25">
      <c r="A31" s="29" t="s">
        <v>26</v>
      </c>
      <c r="B31" s="50">
        <v>1343</v>
      </c>
      <c r="C31" s="50">
        <v>1676</v>
      </c>
      <c r="D31" s="51">
        <v>3019</v>
      </c>
      <c r="E31" s="55">
        <v>55.515071215634315</v>
      </c>
      <c r="F31" s="56"/>
      <c r="G31" s="50">
        <v>722</v>
      </c>
      <c r="H31" s="50">
        <v>822</v>
      </c>
      <c r="I31" s="51">
        <v>1544</v>
      </c>
      <c r="J31" s="55">
        <f t="shared" si="0"/>
        <v>53.238341968911918</v>
      </c>
      <c r="K31" s="56"/>
      <c r="L31" s="61">
        <v>53.760238272524198</v>
      </c>
      <c r="M31" s="61">
        <v>49.045346062052509</v>
      </c>
      <c r="N31" s="61">
        <v>51.142762504140443</v>
      </c>
      <c r="P31" s="44"/>
    </row>
    <row r="32" spans="1:16" ht="12" customHeight="1" x14ac:dyDescent="0.25">
      <c r="A32" s="29" t="s">
        <v>27</v>
      </c>
      <c r="B32" s="50">
        <v>1419</v>
      </c>
      <c r="C32" s="50">
        <v>1578</v>
      </c>
      <c r="D32" s="51">
        <v>2997</v>
      </c>
      <c r="E32" s="55">
        <v>52.652652652652655</v>
      </c>
      <c r="F32" s="56"/>
      <c r="G32" s="50">
        <v>757</v>
      </c>
      <c r="H32" s="50">
        <v>829</v>
      </c>
      <c r="I32" s="51">
        <v>1586</v>
      </c>
      <c r="J32" s="55">
        <f t="shared" si="0"/>
        <v>52.269861286254731</v>
      </c>
      <c r="K32" s="56"/>
      <c r="L32" s="61">
        <v>53.347427766032418</v>
      </c>
      <c r="M32" s="61">
        <v>52.534854245880865</v>
      </c>
      <c r="N32" s="61">
        <v>52.919586252919586</v>
      </c>
      <c r="P32" s="44"/>
    </row>
    <row r="33" spans="1:16" ht="12" customHeight="1" x14ac:dyDescent="0.25">
      <c r="A33" s="29" t="s">
        <v>28</v>
      </c>
      <c r="B33" s="50">
        <v>583</v>
      </c>
      <c r="C33" s="50">
        <v>678</v>
      </c>
      <c r="D33" s="51">
        <v>1261</v>
      </c>
      <c r="E33" s="55">
        <v>53.766851704996036</v>
      </c>
      <c r="F33" s="56"/>
      <c r="G33" s="50">
        <v>287</v>
      </c>
      <c r="H33" s="50">
        <v>320</v>
      </c>
      <c r="I33" s="51">
        <v>607</v>
      </c>
      <c r="J33" s="55">
        <f t="shared" si="0"/>
        <v>52.718286655683691</v>
      </c>
      <c r="K33" s="56"/>
      <c r="L33" s="61">
        <v>49.228130360205832</v>
      </c>
      <c r="M33" s="61">
        <v>47.197640117994098</v>
      </c>
      <c r="N33" s="61">
        <v>48.136399682791435</v>
      </c>
      <c r="P33" s="44"/>
    </row>
    <row r="34" spans="1:16" ht="12" customHeight="1" x14ac:dyDescent="0.25">
      <c r="A34" s="29" t="s">
        <v>29</v>
      </c>
      <c r="B34" s="50">
        <v>464</v>
      </c>
      <c r="C34" s="50">
        <v>547</v>
      </c>
      <c r="D34" s="51">
        <v>1011</v>
      </c>
      <c r="E34" s="55">
        <v>54.104846686449058</v>
      </c>
      <c r="F34" s="56"/>
      <c r="G34" s="50">
        <v>193</v>
      </c>
      <c r="H34" s="50">
        <v>229</v>
      </c>
      <c r="I34" s="51">
        <v>422</v>
      </c>
      <c r="J34" s="55">
        <f t="shared" si="0"/>
        <v>54.265402843601898</v>
      </c>
      <c r="K34" s="56"/>
      <c r="L34" s="61">
        <v>41.594827586206897</v>
      </c>
      <c r="M34" s="61">
        <v>41.864716636197443</v>
      </c>
      <c r="N34" s="61">
        <v>41.740850642927796</v>
      </c>
      <c r="P34" s="44"/>
    </row>
    <row r="35" spans="1:16" ht="20.100000000000001" customHeight="1" x14ac:dyDescent="0.25">
      <c r="A35" s="35" t="s">
        <v>30</v>
      </c>
      <c r="B35" s="50">
        <v>38685</v>
      </c>
      <c r="C35" s="50">
        <v>46831</v>
      </c>
      <c r="D35" s="51">
        <v>85516</v>
      </c>
      <c r="E35" s="55">
        <v>54.762851396229948</v>
      </c>
      <c r="F35" s="57"/>
      <c r="G35" s="50">
        <v>16153</v>
      </c>
      <c r="H35" s="50">
        <v>18844</v>
      </c>
      <c r="I35" s="51">
        <v>34997</v>
      </c>
      <c r="J35" s="55">
        <f t="shared" si="0"/>
        <v>53.844615252735949</v>
      </c>
      <c r="K35" s="57"/>
      <c r="L35" s="61">
        <v>41.755202274783507</v>
      </c>
      <c r="M35" s="61">
        <v>40.238303687728212</v>
      </c>
      <c r="N35" s="61">
        <v>40.924505355722907</v>
      </c>
      <c r="P35" s="44"/>
    </row>
    <row r="36" spans="1:16" ht="12" customHeight="1" x14ac:dyDescent="0.25">
      <c r="A36" s="29" t="s">
        <v>31</v>
      </c>
      <c r="B36" s="50">
        <v>724</v>
      </c>
      <c r="C36" s="50">
        <v>812</v>
      </c>
      <c r="D36" s="51">
        <v>1536</v>
      </c>
      <c r="E36" s="55">
        <v>52.864583333333336</v>
      </c>
      <c r="F36" s="56"/>
      <c r="G36" s="50">
        <v>349</v>
      </c>
      <c r="H36" s="50">
        <v>362</v>
      </c>
      <c r="I36" s="51">
        <v>711</v>
      </c>
      <c r="J36" s="55">
        <f t="shared" si="0"/>
        <v>50.914205344585092</v>
      </c>
      <c r="K36" s="56"/>
      <c r="L36" s="61">
        <v>48.204419889502759</v>
      </c>
      <c r="M36" s="61">
        <v>44.581280788177338</v>
      </c>
      <c r="N36" s="61">
        <v>46.2890625</v>
      </c>
      <c r="P36" s="44"/>
    </row>
    <row r="37" spans="1:16" ht="12" customHeight="1" x14ac:dyDescent="0.25">
      <c r="A37" s="29" t="s">
        <v>32</v>
      </c>
      <c r="B37" s="50">
        <v>2537</v>
      </c>
      <c r="C37" s="50">
        <v>2988</v>
      </c>
      <c r="D37" s="51">
        <v>5525</v>
      </c>
      <c r="E37" s="55">
        <v>54.081447963800905</v>
      </c>
      <c r="F37" s="56"/>
      <c r="G37" s="50">
        <v>961</v>
      </c>
      <c r="H37" s="50">
        <v>1063</v>
      </c>
      <c r="I37" s="51">
        <v>2024</v>
      </c>
      <c r="J37" s="55">
        <f t="shared" si="0"/>
        <v>52.519762845849804</v>
      </c>
      <c r="K37" s="56"/>
      <c r="L37" s="61">
        <v>37.879385100512415</v>
      </c>
      <c r="M37" s="61">
        <v>35.575635876840693</v>
      </c>
      <c r="N37" s="61">
        <v>36.633484162895925</v>
      </c>
      <c r="P37" s="44"/>
    </row>
    <row r="38" spans="1:16" ht="12" customHeight="1" x14ac:dyDescent="0.25">
      <c r="A38" s="29" t="s">
        <v>33</v>
      </c>
      <c r="B38" s="50">
        <v>150</v>
      </c>
      <c r="C38" s="50">
        <v>171</v>
      </c>
      <c r="D38" s="51">
        <v>321</v>
      </c>
      <c r="E38" s="55">
        <v>53.271028037383175</v>
      </c>
      <c r="F38" s="56"/>
      <c r="G38" s="50">
        <v>66</v>
      </c>
      <c r="H38" s="50">
        <v>82</v>
      </c>
      <c r="I38" s="51">
        <v>148</v>
      </c>
      <c r="J38" s="55">
        <f t="shared" si="0"/>
        <v>55.405405405405403</v>
      </c>
      <c r="K38" s="56"/>
      <c r="L38" s="61">
        <v>44</v>
      </c>
      <c r="M38" s="61">
        <v>47.953216374269005</v>
      </c>
      <c r="N38" s="61">
        <v>46.105919003115268</v>
      </c>
      <c r="P38" s="44"/>
    </row>
    <row r="39" spans="1:16" ht="12" customHeight="1" x14ac:dyDescent="0.25">
      <c r="A39" s="29" t="s">
        <v>34</v>
      </c>
      <c r="B39" s="50">
        <v>304</v>
      </c>
      <c r="C39" s="50">
        <v>367</v>
      </c>
      <c r="D39" s="51">
        <v>671</v>
      </c>
      <c r="E39" s="55">
        <v>54.694485842026829</v>
      </c>
      <c r="F39" s="56"/>
      <c r="G39" s="50">
        <v>154</v>
      </c>
      <c r="H39" s="50">
        <v>175</v>
      </c>
      <c r="I39" s="51">
        <v>329</v>
      </c>
      <c r="J39" s="55">
        <f t="shared" si="0"/>
        <v>53.191489361702125</v>
      </c>
      <c r="K39" s="56"/>
      <c r="L39" s="61">
        <v>50.657894736842103</v>
      </c>
      <c r="M39" s="61">
        <v>47.683923705722073</v>
      </c>
      <c r="N39" s="61">
        <v>49.031296572280176</v>
      </c>
      <c r="P39" s="44"/>
    </row>
    <row r="40" spans="1:16" ht="20.100000000000001" customHeight="1" x14ac:dyDescent="0.25">
      <c r="A40" s="29" t="s">
        <v>35</v>
      </c>
      <c r="B40" s="50">
        <v>354</v>
      </c>
      <c r="C40" s="50">
        <v>382</v>
      </c>
      <c r="D40" s="51">
        <v>736</v>
      </c>
      <c r="E40" s="55">
        <v>51.902173913043477</v>
      </c>
      <c r="F40" s="56"/>
      <c r="G40" s="50">
        <v>189</v>
      </c>
      <c r="H40" s="50">
        <v>190</v>
      </c>
      <c r="I40" s="51">
        <v>379</v>
      </c>
      <c r="J40" s="55">
        <f t="shared" si="0"/>
        <v>50.131926121372032</v>
      </c>
      <c r="K40" s="56"/>
      <c r="L40" s="61">
        <v>53.389830508474574</v>
      </c>
      <c r="M40" s="61">
        <v>49.738219895287955</v>
      </c>
      <c r="N40" s="61">
        <v>51.494565217391305</v>
      </c>
      <c r="P40" s="44"/>
    </row>
    <row r="41" spans="1:16" ht="12" customHeight="1" x14ac:dyDescent="0.25">
      <c r="A41" s="29" t="s">
        <v>36</v>
      </c>
      <c r="B41" s="50">
        <v>228</v>
      </c>
      <c r="C41" s="50">
        <v>253</v>
      </c>
      <c r="D41" s="51">
        <v>481</v>
      </c>
      <c r="E41" s="55">
        <v>52.598752598752597</v>
      </c>
      <c r="F41" s="56"/>
      <c r="G41" s="50">
        <v>121</v>
      </c>
      <c r="H41" s="50">
        <v>132</v>
      </c>
      <c r="I41" s="51">
        <v>253</v>
      </c>
      <c r="J41" s="55">
        <f t="shared" si="0"/>
        <v>52.173913043478258</v>
      </c>
      <c r="K41" s="56"/>
      <c r="L41" s="61">
        <v>53.070175438596493</v>
      </c>
      <c r="M41" s="61">
        <v>52.173913043478258</v>
      </c>
      <c r="N41" s="61">
        <v>52.598752598752597</v>
      </c>
      <c r="P41" s="44"/>
    </row>
    <row r="42" spans="1:16" s="34" customFormat="1" ht="12" customHeight="1" x14ac:dyDescent="0.25">
      <c r="A42" s="35" t="s">
        <v>37</v>
      </c>
      <c r="B42" s="50">
        <v>7958</v>
      </c>
      <c r="C42" s="50">
        <v>9427</v>
      </c>
      <c r="D42" s="51">
        <v>17385</v>
      </c>
      <c r="E42" s="55">
        <v>54.224906528616621</v>
      </c>
      <c r="F42" s="57"/>
      <c r="G42" s="50">
        <v>2883</v>
      </c>
      <c r="H42" s="50">
        <v>3181</v>
      </c>
      <c r="I42" s="51">
        <v>6064</v>
      </c>
      <c r="J42" s="55">
        <f t="shared" si="0"/>
        <v>52.457124010554089</v>
      </c>
      <c r="K42" s="57"/>
      <c r="L42" s="61">
        <v>36.227695400854486</v>
      </c>
      <c r="M42" s="61">
        <v>33.743502704996288</v>
      </c>
      <c r="N42" s="61">
        <v>34.880644233534653</v>
      </c>
      <c r="P42" s="44"/>
    </row>
    <row r="43" spans="1:16" ht="12" customHeight="1" x14ac:dyDescent="0.25">
      <c r="A43" s="29" t="s">
        <v>38</v>
      </c>
      <c r="B43" s="50">
        <v>607</v>
      </c>
      <c r="C43" s="50">
        <v>705</v>
      </c>
      <c r="D43" s="51">
        <v>1312</v>
      </c>
      <c r="E43" s="55">
        <v>53.734756097560975</v>
      </c>
      <c r="F43" s="56"/>
      <c r="G43" s="50">
        <v>294</v>
      </c>
      <c r="H43" s="50">
        <v>331</v>
      </c>
      <c r="I43" s="51">
        <v>625</v>
      </c>
      <c r="J43" s="55">
        <f t="shared" si="0"/>
        <v>52.96</v>
      </c>
      <c r="K43" s="56"/>
      <c r="L43" s="61">
        <v>48.434925864909388</v>
      </c>
      <c r="M43" s="61">
        <v>46.950354609929079</v>
      </c>
      <c r="N43" s="61">
        <v>47.637195121951223</v>
      </c>
      <c r="P43" s="44"/>
    </row>
    <row r="44" spans="1:16" s="34" customFormat="1" ht="12" customHeight="1" x14ac:dyDescent="0.25">
      <c r="A44" s="35" t="s">
        <v>39</v>
      </c>
      <c r="B44" s="50">
        <v>5236</v>
      </c>
      <c r="C44" s="50">
        <v>6052</v>
      </c>
      <c r="D44" s="51">
        <v>11288</v>
      </c>
      <c r="E44" s="55">
        <v>53.614457831325304</v>
      </c>
      <c r="F44" s="57"/>
      <c r="G44" s="50">
        <v>1768</v>
      </c>
      <c r="H44" s="50">
        <v>2003</v>
      </c>
      <c r="I44" s="51">
        <v>3771</v>
      </c>
      <c r="J44" s="55">
        <f t="shared" si="0"/>
        <v>53.11588438080085</v>
      </c>
      <c r="K44" s="57"/>
      <c r="L44" s="61">
        <v>33.766233766233768</v>
      </c>
      <c r="M44" s="61">
        <v>33.0964970257766</v>
      </c>
      <c r="N44" s="61">
        <v>33.40715804394047</v>
      </c>
      <c r="P44" s="44"/>
    </row>
    <row r="45" spans="1:16" ht="20.100000000000001" customHeight="1" x14ac:dyDescent="0.25">
      <c r="A45" s="29" t="s">
        <v>40</v>
      </c>
      <c r="B45" s="50">
        <v>4281</v>
      </c>
      <c r="C45" s="50">
        <v>5183</v>
      </c>
      <c r="D45" s="51">
        <v>9464</v>
      </c>
      <c r="E45" s="55">
        <v>54.765426880811496</v>
      </c>
      <c r="F45" s="56"/>
      <c r="G45" s="50">
        <v>1589</v>
      </c>
      <c r="H45" s="50">
        <v>1767</v>
      </c>
      <c r="I45" s="51">
        <v>3356</v>
      </c>
      <c r="J45" s="55">
        <f t="shared" si="0"/>
        <v>52.651966626936833</v>
      </c>
      <c r="K45" s="56"/>
      <c r="L45" s="61">
        <v>37.117495912170057</v>
      </c>
      <c r="M45" s="61">
        <v>34.092224580358867</v>
      </c>
      <c r="N45" s="61">
        <v>35.460693153000847</v>
      </c>
      <c r="P45" s="44"/>
    </row>
    <row r="46" spans="1:16" ht="12" customHeight="1" x14ac:dyDescent="0.25">
      <c r="A46" s="29" t="s">
        <v>41</v>
      </c>
      <c r="B46" s="50">
        <v>846</v>
      </c>
      <c r="C46" s="50">
        <v>1016</v>
      </c>
      <c r="D46" s="51">
        <v>1862</v>
      </c>
      <c r="E46" s="55">
        <v>54.564983888292161</v>
      </c>
      <c r="F46" s="56"/>
      <c r="G46" s="50">
        <v>339</v>
      </c>
      <c r="H46" s="50">
        <v>392</v>
      </c>
      <c r="I46" s="51">
        <v>731</v>
      </c>
      <c r="J46" s="55">
        <f t="shared" si="0"/>
        <v>53.625170998632008</v>
      </c>
      <c r="K46" s="56"/>
      <c r="L46" s="61">
        <v>40.070921985815602</v>
      </c>
      <c r="M46" s="61">
        <v>38.582677165354333</v>
      </c>
      <c r="N46" s="61">
        <v>39.258861439312568</v>
      </c>
      <c r="P46" s="44"/>
    </row>
    <row r="47" spans="1:16" ht="12" customHeight="1" x14ac:dyDescent="0.25">
      <c r="A47" s="29" t="s">
        <v>42</v>
      </c>
      <c r="B47" s="50">
        <v>3293</v>
      </c>
      <c r="C47" s="50">
        <v>3805</v>
      </c>
      <c r="D47" s="51">
        <v>7098</v>
      </c>
      <c r="E47" s="55">
        <v>53.606649760495912</v>
      </c>
      <c r="F47" s="56"/>
      <c r="G47" s="50">
        <v>1341</v>
      </c>
      <c r="H47" s="50">
        <v>1507</v>
      </c>
      <c r="I47" s="51">
        <v>2848</v>
      </c>
      <c r="J47" s="55">
        <f t="shared" si="0"/>
        <v>52.914325842696627</v>
      </c>
      <c r="K47" s="56"/>
      <c r="L47" s="61">
        <v>40.72274521712724</v>
      </c>
      <c r="M47" s="61">
        <v>39.605781865965831</v>
      </c>
      <c r="N47" s="61">
        <v>40.123978585517044</v>
      </c>
      <c r="P47" s="44"/>
    </row>
    <row r="48" spans="1:16" ht="12" customHeight="1" x14ac:dyDescent="0.25">
      <c r="A48" s="29" t="s">
        <v>43</v>
      </c>
      <c r="B48" s="50">
        <v>721</v>
      </c>
      <c r="C48" s="50">
        <v>789</v>
      </c>
      <c r="D48" s="51">
        <v>1510</v>
      </c>
      <c r="E48" s="55">
        <v>52.251655629139073</v>
      </c>
      <c r="F48" s="56"/>
      <c r="G48" s="50">
        <v>345</v>
      </c>
      <c r="H48" s="50">
        <v>357</v>
      </c>
      <c r="I48" s="51">
        <v>702</v>
      </c>
      <c r="J48" s="55">
        <f t="shared" si="0"/>
        <v>50.854700854700852</v>
      </c>
      <c r="K48" s="56"/>
      <c r="L48" s="61">
        <v>47.850208044382804</v>
      </c>
      <c r="M48" s="61">
        <v>45.247148288973385</v>
      </c>
      <c r="N48" s="61">
        <v>46.490066225165563</v>
      </c>
      <c r="P48" s="44"/>
    </row>
    <row r="49" spans="1:16" ht="12" customHeight="1" x14ac:dyDescent="0.25">
      <c r="A49" s="29" t="s">
        <v>44</v>
      </c>
      <c r="B49" s="50">
        <v>220</v>
      </c>
      <c r="C49" s="50">
        <v>259</v>
      </c>
      <c r="D49" s="51">
        <v>479</v>
      </c>
      <c r="E49" s="55">
        <v>54.070981210855948</v>
      </c>
      <c r="F49" s="56"/>
      <c r="G49" s="50">
        <v>107</v>
      </c>
      <c r="H49" s="50">
        <v>115</v>
      </c>
      <c r="I49" s="51">
        <v>222</v>
      </c>
      <c r="J49" s="55">
        <f t="shared" si="0"/>
        <v>51.801801801801801</v>
      </c>
      <c r="K49" s="56"/>
      <c r="L49" s="61">
        <v>48.636363636363633</v>
      </c>
      <c r="M49" s="61">
        <v>44.401544401544399</v>
      </c>
      <c r="N49" s="61">
        <v>46.346555323590813</v>
      </c>
      <c r="P49" s="44"/>
    </row>
    <row r="50" spans="1:16" ht="20.100000000000001" customHeight="1" x14ac:dyDescent="0.25">
      <c r="A50" s="29" t="s">
        <v>45</v>
      </c>
      <c r="B50" s="50">
        <v>676</v>
      </c>
      <c r="C50" s="50">
        <v>834</v>
      </c>
      <c r="D50" s="51">
        <v>1510</v>
      </c>
      <c r="E50" s="55">
        <v>55.231788079470199</v>
      </c>
      <c r="F50" s="56"/>
      <c r="G50" s="50">
        <v>315</v>
      </c>
      <c r="H50" s="50">
        <v>363</v>
      </c>
      <c r="I50" s="51">
        <v>678</v>
      </c>
      <c r="J50" s="55">
        <f t="shared" si="0"/>
        <v>53.539823008849559</v>
      </c>
      <c r="K50" s="56"/>
      <c r="L50" s="61">
        <v>46.597633136094672</v>
      </c>
      <c r="M50" s="61">
        <v>43.525179856115109</v>
      </c>
      <c r="N50" s="61">
        <v>44.900662251655632</v>
      </c>
      <c r="P50" s="44"/>
    </row>
    <row r="51" spans="1:16" ht="12" customHeight="1" x14ac:dyDescent="0.25">
      <c r="A51" s="29" t="s">
        <v>46</v>
      </c>
      <c r="B51" s="50">
        <v>163</v>
      </c>
      <c r="C51" s="50">
        <v>166</v>
      </c>
      <c r="D51" s="51">
        <v>329</v>
      </c>
      <c r="E51" s="55">
        <v>50.455927051671729</v>
      </c>
      <c r="F51" s="56"/>
      <c r="G51" s="50">
        <v>116</v>
      </c>
      <c r="H51" s="50">
        <v>116</v>
      </c>
      <c r="I51" s="51">
        <v>232</v>
      </c>
      <c r="J51" s="55">
        <f t="shared" si="0"/>
        <v>50</v>
      </c>
      <c r="K51" s="56"/>
      <c r="L51" s="61">
        <v>71.165644171779135</v>
      </c>
      <c r="M51" s="61">
        <v>69.879518072289159</v>
      </c>
      <c r="N51" s="61">
        <v>70.516717325227958</v>
      </c>
      <c r="P51" s="44"/>
    </row>
    <row r="52" spans="1:16" ht="12" customHeight="1" x14ac:dyDescent="0.25">
      <c r="A52" s="29" t="s">
        <v>47</v>
      </c>
      <c r="B52" s="50">
        <v>1169</v>
      </c>
      <c r="C52" s="50">
        <v>1266</v>
      </c>
      <c r="D52" s="51">
        <v>2435</v>
      </c>
      <c r="E52" s="55">
        <v>51.991786447638603</v>
      </c>
      <c r="F52" s="56"/>
      <c r="G52" s="50">
        <v>509</v>
      </c>
      <c r="H52" s="50">
        <v>523</v>
      </c>
      <c r="I52" s="51">
        <v>1032</v>
      </c>
      <c r="J52" s="55">
        <f t="shared" si="0"/>
        <v>50.678294573643413</v>
      </c>
      <c r="K52" s="56"/>
      <c r="L52" s="61">
        <v>43.541488451668094</v>
      </c>
      <c r="M52" s="61">
        <v>41.31121642969984</v>
      </c>
      <c r="N52" s="61">
        <v>42.381930184804929</v>
      </c>
      <c r="P52" s="44"/>
    </row>
    <row r="53" spans="1:16" ht="12" customHeight="1" x14ac:dyDescent="0.25">
      <c r="A53" s="29" t="s">
        <v>48</v>
      </c>
      <c r="B53" s="50">
        <v>292</v>
      </c>
      <c r="C53" s="50">
        <v>305</v>
      </c>
      <c r="D53" s="51">
        <v>597</v>
      </c>
      <c r="E53" s="55">
        <v>51.088777219430483</v>
      </c>
      <c r="F53" s="56"/>
      <c r="G53" s="50">
        <v>138</v>
      </c>
      <c r="H53" s="50">
        <v>131</v>
      </c>
      <c r="I53" s="51">
        <v>269</v>
      </c>
      <c r="J53" s="55">
        <f t="shared" si="0"/>
        <v>48.698884758364315</v>
      </c>
      <c r="K53" s="56"/>
      <c r="L53" s="61">
        <v>47.260273972602739</v>
      </c>
      <c r="M53" s="61">
        <v>42.950819672131146</v>
      </c>
      <c r="N53" s="61">
        <v>45.058626465661639</v>
      </c>
      <c r="P53" s="44"/>
    </row>
    <row r="54" spans="1:16" s="34" customFormat="1" ht="12" customHeight="1" x14ac:dyDescent="0.25">
      <c r="A54" s="35" t="s">
        <v>49</v>
      </c>
      <c r="B54" s="50">
        <v>3778</v>
      </c>
      <c r="C54" s="50">
        <v>4468</v>
      </c>
      <c r="D54" s="51">
        <v>8246</v>
      </c>
      <c r="E54" s="55">
        <v>54.18384671355809</v>
      </c>
      <c r="F54" s="57"/>
      <c r="G54" s="50">
        <v>1588</v>
      </c>
      <c r="H54" s="50">
        <v>1755</v>
      </c>
      <c r="I54" s="51">
        <v>3343</v>
      </c>
      <c r="J54" s="55">
        <f t="shared" si="0"/>
        <v>52.49775650613222</v>
      </c>
      <c r="K54" s="57"/>
      <c r="L54" s="61">
        <v>42.032821598729484</v>
      </c>
      <c r="M54" s="61">
        <v>39.279319606087732</v>
      </c>
      <c r="N54" s="61">
        <v>40.540868299781714</v>
      </c>
      <c r="P54" s="44"/>
    </row>
    <row r="55" spans="1:16" ht="20.100000000000001" customHeight="1" x14ac:dyDescent="0.25">
      <c r="A55" s="29" t="s">
        <v>50</v>
      </c>
      <c r="B55" s="50">
        <v>770</v>
      </c>
      <c r="C55" s="50">
        <v>859</v>
      </c>
      <c r="D55" s="51">
        <v>1629</v>
      </c>
      <c r="E55" s="55">
        <v>52.731737262124</v>
      </c>
      <c r="F55" s="56"/>
      <c r="G55" s="50">
        <v>363</v>
      </c>
      <c r="H55" s="50">
        <v>375</v>
      </c>
      <c r="I55" s="51">
        <v>738</v>
      </c>
      <c r="J55" s="55">
        <f t="shared" si="0"/>
        <v>50.8130081300813</v>
      </c>
      <c r="K55" s="56"/>
      <c r="L55" s="61">
        <v>47.142857142857146</v>
      </c>
      <c r="M55" s="61">
        <v>43.655413271245635</v>
      </c>
      <c r="N55" s="61">
        <v>45.303867403314918</v>
      </c>
      <c r="P55" s="44"/>
    </row>
    <row r="56" spans="1:16" ht="12" customHeight="1" x14ac:dyDescent="0.25">
      <c r="A56" s="29" t="s">
        <v>51</v>
      </c>
      <c r="B56" s="50">
        <v>730</v>
      </c>
      <c r="C56" s="50">
        <v>803</v>
      </c>
      <c r="D56" s="51">
        <v>1533</v>
      </c>
      <c r="E56" s="55">
        <v>52.38095238095238</v>
      </c>
      <c r="F56" s="56"/>
      <c r="G56" s="50">
        <v>422</v>
      </c>
      <c r="H56" s="50">
        <v>420</v>
      </c>
      <c r="I56" s="51">
        <v>842</v>
      </c>
      <c r="J56" s="55">
        <f t="shared" si="0"/>
        <v>49.881235154394297</v>
      </c>
      <c r="K56" s="56"/>
      <c r="L56" s="61">
        <v>57.80821917808219</v>
      </c>
      <c r="M56" s="61">
        <v>52.303860523038608</v>
      </c>
      <c r="N56" s="61">
        <v>54.924983692106977</v>
      </c>
      <c r="P56" s="44"/>
    </row>
    <row r="57" spans="1:16" s="34" customFormat="1" ht="12" customHeight="1" x14ac:dyDescent="0.25">
      <c r="A57" s="35" t="s">
        <v>52</v>
      </c>
      <c r="B57" s="50">
        <v>7387</v>
      </c>
      <c r="C57" s="50">
        <v>8407</v>
      </c>
      <c r="D57" s="51">
        <v>15794</v>
      </c>
      <c r="E57" s="55">
        <v>53.229074332024823</v>
      </c>
      <c r="F57" s="57"/>
      <c r="G57" s="50">
        <v>2398</v>
      </c>
      <c r="H57" s="50">
        <v>2592</v>
      </c>
      <c r="I57" s="51">
        <v>4990</v>
      </c>
      <c r="J57" s="55">
        <f t="shared" si="0"/>
        <v>51.943887775551104</v>
      </c>
      <c r="K57" s="57"/>
      <c r="L57" s="61">
        <v>32.462434005685665</v>
      </c>
      <c r="M57" s="61">
        <v>30.831449982157725</v>
      </c>
      <c r="N57" s="61">
        <v>31.594276307458529</v>
      </c>
      <c r="P57" s="44"/>
    </row>
    <row r="58" spans="1:16" ht="12" customHeight="1" x14ac:dyDescent="0.25">
      <c r="A58" s="29" t="s">
        <v>53</v>
      </c>
      <c r="B58" s="50">
        <v>2706</v>
      </c>
      <c r="C58" s="50">
        <v>3301</v>
      </c>
      <c r="D58" s="51">
        <v>6007</v>
      </c>
      <c r="E58" s="55">
        <v>54.952555352089227</v>
      </c>
      <c r="F58" s="56"/>
      <c r="G58" s="50">
        <v>960</v>
      </c>
      <c r="H58" s="50">
        <v>1147</v>
      </c>
      <c r="I58" s="51">
        <v>2107</v>
      </c>
      <c r="J58" s="55">
        <f t="shared" si="0"/>
        <v>54.437588989084006</v>
      </c>
      <c r="K58" s="56"/>
      <c r="L58" s="61">
        <v>35.476718403547672</v>
      </c>
      <c r="M58" s="61">
        <v>34.747046349591031</v>
      </c>
      <c r="N58" s="61">
        <v>35.075744964208425</v>
      </c>
      <c r="P58" s="44"/>
    </row>
    <row r="59" spans="1:16" s="34" customFormat="1" ht="12" customHeight="1" x14ac:dyDescent="0.25">
      <c r="A59" s="35" t="s">
        <v>54</v>
      </c>
      <c r="B59" s="50">
        <v>3162</v>
      </c>
      <c r="C59" s="50">
        <v>3539</v>
      </c>
      <c r="D59" s="51">
        <v>6701</v>
      </c>
      <c r="E59" s="55">
        <v>52.813012983136844</v>
      </c>
      <c r="F59" s="57"/>
      <c r="G59" s="50">
        <v>1548</v>
      </c>
      <c r="H59" s="50">
        <v>1523</v>
      </c>
      <c r="I59" s="51">
        <v>3071</v>
      </c>
      <c r="J59" s="55">
        <f t="shared" si="0"/>
        <v>49.592966460436337</v>
      </c>
      <c r="K59" s="57"/>
      <c r="L59" s="61">
        <v>48.956356736242881</v>
      </c>
      <c r="M59" s="61">
        <v>43.03475558067251</v>
      </c>
      <c r="N59" s="61">
        <v>45.82898074914192</v>
      </c>
      <c r="P59" s="44"/>
    </row>
    <row r="60" spans="1:16" s="36" customFormat="1" ht="20.100000000000001" customHeight="1" x14ac:dyDescent="0.25">
      <c r="A60" s="37" t="s">
        <v>55</v>
      </c>
      <c r="B60" s="54">
        <v>111391</v>
      </c>
      <c r="C60" s="54">
        <v>131591</v>
      </c>
      <c r="D60" s="53">
        <v>242982</v>
      </c>
      <c r="E60" s="59">
        <v>54.156686503527013</v>
      </c>
      <c r="F60" s="58"/>
      <c r="G60" s="54">
        <v>45984</v>
      </c>
      <c r="H60" s="54">
        <v>51823</v>
      </c>
      <c r="I60" s="53">
        <v>97807</v>
      </c>
      <c r="J60" s="59">
        <f t="shared" si="0"/>
        <v>52.98496017667447</v>
      </c>
      <c r="K60" s="58"/>
      <c r="L60" s="62">
        <v>41.281611620328391</v>
      </c>
      <c r="M60" s="62">
        <v>39.381872620467966</v>
      </c>
      <c r="N60" s="62">
        <v>40.25277592578874</v>
      </c>
      <c r="P60" s="45"/>
    </row>
    <row r="61" spans="1:16" s="36" customFormat="1" ht="20.100000000000001" customHeight="1" x14ac:dyDescent="0.25">
      <c r="A61" s="35" t="s">
        <v>57</v>
      </c>
      <c r="B61" s="50">
        <v>14924</v>
      </c>
      <c r="C61" s="50">
        <v>17621</v>
      </c>
      <c r="D61" s="51">
        <v>32545</v>
      </c>
      <c r="E61" s="55">
        <v>54.143493624212631</v>
      </c>
      <c r="F61" s="57"/>
      <c r="G61" s="50">
        <v>3171</v>
      </c>
      <c r="H61" s="50">
        <v>3656</v>
      </c>
      <c r="I61" s="51">
        <v>6827</v>
      </c>
      <c r="J61" s="55">
        <f t="shared" si="0"/>
        <v>53.552072652702506</v>
      </c>
      <c r="K61" s="57"/>
      <c r="L61" s="61">
        <v>21.247654784240151</v>
      </c>
      <c r="M61" s="61">
        <v>20.74797117076216</v>
      </c>
      <c r="N61" s="61">
        <v>20.977108618835459</v>
      </c>
      <c r="P61" s="44"/>
    </row>
    <row r="62" spans="1:16" ht="20.100000000000001" customHeight="1" x14ac:dyDescent="0.25">
      <c r="A62" s="37" t="s">
        <v>8</v>
      </c>
      <c r="B62" s="52">
        <v>126315</v>
      </c>
      <c r="C62" s="52">
        <v>149212</v>
      </c>
      <c r="D62" s="53">
        <v>275527</v>
      </c>
      <c r="E62" s="59">
        <v>54.155128172556594</v>
      </c>
      <c r="F62" s="60"/>
      <c r="G62" s="52">
        <v>49155</v>
      </c>
      <c r="H62" s="52">
        <v>55479</v>
      </c>
      <c r="I62" s="53">
        <v>104634</v>
      </c>
      <c r="J62" s="59">
        <f t="shared" si="0"/>
        <v>53.021962268478696</v>
      </c>
      <c r="K62" s="60"/>
      <c r="L62" s="62">
        <v>38.914618216363856</v>
      </c>
      <c r="M62" s="62">
        <v>37.181325898721283</v>
      </c>
      <c r="N62" s="62">
        <v>37.975951540139441</v>
      </c>
      <c r="P62" s="45"/>
    </row>
    <row r="63" spans="1:16" ht="20.100000000000001" customHeight="1" x14ac:dyDescent="0.25">
      <c r="A63" s="35" t="s">
        <v>60</v>
      </c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2" customHeight="1" x14ac:dyDescent="0.25">
      <c r="A64" s="35" t="s">
        <v>61</v>
      </c>
      <c r="B64" s="48"/>
      <c r="C64" s="48"/>
      <c r="D64" s="45"/>
      <c r="E64" s="46"/>
      <c r="F64" s="49"/>
      <c r="G64" s="48"/>
      <c r="H64" s="48"/>
      <c r="I64" s="45"/>
      <c r="J64" s="46"/>
      <c r="K64" s="49"/>
      <c r="L64" s="47"/>
      <c r="M64" s="47"/>
      <c r="N64" s="47"/>
      <c r="P64" s="45"/>
    </row>
    <row r="65" spans="1:14" ht="18" customHeight="1" x14ac:dyDescent="0.25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63" t="s">
        <v>65</v>
      </c>
    </row>
    <row r="66" spans="1:14" ht="5.0999999999999996" customHeight="1" x14ac:dyDescent="0.25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18_juin_2023</vt:lpstr>
      <vt:lpstr>12_mars_2023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2021-12-14T09:19:55Z</cp:lastPrinted>
  <dcterms:created xsi:type="dcterms:W3CDTF">2006-07-28T13:35:14Z</dcterms:created>
  <dcterms:modified xsi:type="dcterms:W3CDTF">2026-01-13T10:44:46Z</dcterms:modified>
</cp:coreProperties>
</file>
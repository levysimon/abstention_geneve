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O2402\13_INTERNET\Maj_tableaux_XLS_telechargement\D17\D17_03\2021\"/>
    </mc:Choice>
  </mc:AlternateContent>
  <xr:revisionPtr revIDLastSave="0" documentId="13_ncr:1_{9C96DC4D-91C2-4D0D-8BE6-7276C0AD862A}" xr6:coauthVersionLast="47" xr6:coauthVersionMax="47" xr10:uidLastSave="{00000000-0000-0000-0000-000000000000}"/>
  <bookViews>
    <workbookView xWindow="-108" yWindow="-108" windowWidth="23256" windowHeight="12456" tabRatio="734" xr2:uid="{2EAF699C-C686-4533-837E-07E1948BABE5}"/>
  </bookViews>
  <sheets>
    <sheet name="28_novembre_2021" sheetId="18" r:id="rId1"/>
    <sheet name="26_septembre_2021" sheetId="17" r:id="rId2"/>
    <sheet name="13_juin_2021" sheetId="16" r:id="rId3"/>
    <sheet name="7_mars_2021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8" l="1"/>
  <c r="H54" i="18"/>
  <c r="J54" i="18" s="1"/>
  <c r="G54" i="18"/>
  <c r="D54" i="18"/>
  <c r="C54" i="18"/>
  <c r="B54" i="18"/>
  <c r="E54" i="18"/>
</calcChain>
</file>

<file path=xl/sharedStrings.xml><?xml version="1.0" encoding="utf-8"?>
<sst xmlns="http://schemas.openxmlformats.org/spreadsheetml/2006/main" count="292" uniqueCount="61">
  <si>
    <t>Office cantonal de la statistique - OCSTAT</t>
  </si>
  <si>
    <t>Canton de Genève</t>
  </si>
  <si>
    <t xml:space="preserve"> </t>
  </si>
  <si>
    <t xml:space="preserve">Votants  </t>
  </si>
  <si>
    <t>Hommes</t>
  </si>
  <si>
    <t>Femmes</t>
  </si>
  <si>
    <t>Total</t>
  </si>
  <si>
    <t>femmes</t>
  </si>
  <si>
    <t>Groupe d'âges</t>
  </si>
  <si>
    <t>18 - 19 ans</t>
  </si>
  <si>
    <t>90 ans ou plus</t>
  </si>
  <si>
    <t>18 - 39 ans</t>
  </si>
  <si>
    <t>40 - 64 ans</t>
  </si>
  <si>
    <t>65 ans ou plus</t>
  </si>
  <si>
    <t>Célibataire</t>
  </si>
  <si>
    <t>Marié(e)</t>
  </si>
  <si>
    <t>Veuf, veuve</t>
  </si>
  <si>
    <t>Divorcé(e)</t>
  </si>
  <si>
    <t>Genevois</t>
  </si>
  <si>
    <t>Confédéré</t>
  </si>
  <si>
    <t xml:space="preserve">  0 - 4 ans</t>
  </si>
  <si>
    <t xml:space="preserve">  5 - 9 ans</t>
  </si>
  <si>
    <t>10 - 14 ans</t>
  </si>
  <si>
    <t>15 - 19 ans</t>
  </si>
  <si>
    <t>20 - 24 ans</t>
  </si>
  <si>
    <t>25 - 29 ans</t>
  </si>
  <si>
    <t>30 ans ou plus</t>
  </si>
  <si>
    <t>Inconnue</t>
  </si>
  <si>
    <r>
      <t>Source</t>
    </r>
    <r>
      <rPr>
        <i/>
        <sz val="8"/>
        <rFont val="Arial Narrow"/>
        <family val="2"/>
      </rPr>
      <t xml:space="preserve"> : Office cantonal de la statistique / Chancellerie d'Etat</t>
    </r>
  </si>
  <si>
    <t>Taux de participation en %</t>
  </si>
  <si>
    <t>30 - 34 ans</t>
  </si>
  <si>
    <t>35 - 39 ans</t>
  </si>
  <si>
    <t>40 - 44 ans</t>
  </si>
  <si>
    <t>45 - 49 ans</t>
  </si>
  <si>
    <t>50 - 54 ans</t>
  </si>
  <si>
    <t>55 - 59 ans</t>
  </si>
  <si>
    <t xml:space="preserve">60 - 64 ans </t>
  </si>
  <si>
    <t>65 - 69 ans</t>
  </si>
  <si>
    <t>70 - 74 ans</t>
  </si>
  <si>
    <t>75 - 79 ans</t>
  </si>
  <si>
    <t>80 - 84 ans</t>
  </si>
  <si>
    <t>85 - 89 ans</t>
  </si>
  <si>
    <t>Electeurs, votants et taux de participation selon le sexe et quelques caractères socio-démographiques,</t>
  </si>
  <si>
    <t>Electeurs</t>
  </si>
  <si>
    <r>
      <t>Etat matrimonial</t>
    </r>
    <r>
      <rPr>
        <i/>
        <sz val="8"/>
        <color indexed="48"/>
        <rFont val="Arial Narrow"/>
        <family val="2"/>
      </rPr>
      <t xml:space="preserve"> (1)</t>
    </r>
  </si>
  <si>
    <t>Partenariat (2)</t>
  </si>
  <si>
    <r>
      <t xml:space="preserve">Origine </t>
    </r>
    <r>
      <rPr>
        <i/>
        <sz val="8"/>
        <color indexed="48"/>
        <rFont val="Arial Narrow"/>
        <family val="2"/>
      </rPr>
      <t>(1)</t>
    </r>
  </si>
  <si>
    <r>
      <t xml:space="preserve">Durée de résidence dans le canton </t>
    </r>
    <r>
      <rPr>
        <i/>
        <sz val="8"/>
        <color indexed="48"/>
        <rFont val="Arial Narrow"/>
        <family val="2"/>
      </rPr>
      <t>(1)</t>
    </r>
  </si>
  <si>
    <t>(1) Sans les Suisses de l'étranger</t>
  </si>
  <si>
    <t>(2) Partenariat actif, dissous ou séparé.</t>
  </si>
  <si>
    <t>T 17.03.4.02-2021</t>
  </si>
  <si>
    <t>en 2021</t>
  </si>
  <si>
    <t>Scrutin du 7 mars 2021</t>
  </si>
  <si>
    <t>Date de mise à jour : 08.04.2021</t>
  </si>
  <si>
    <t>Scrutin du 13 juin 2021</t>
  </si>
  <si>
    <t>Date de mise à jour : 29.06.2021</t>
  </si>
  <si>
    <t>% de</t>
  </si>
  <si>
    <t>Scrutin du 26 septembre 2021</t>
  </si>
  <si>
    <t>Date de mise à jour : 13.10.2021</t>
  </si>
  <si>
    <t>Scrutin du 28 novembre 2021</t>
  </si>
  <si>
    <t>Date de mise à jour : 17.12.2021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</si>
</sst>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0"/>
    <numFmt numFmtId="165" formatCode="0\,0"/>
    <numFmt numFmtId="166" formatCode="0.0"/>
    <numFmt numFmtId="167" formatCode="#,##0;\-#,##0;\-;"/>
    <numFmt numFmtId="168" formatCode="##.0;\-##.0;&quot;-&quot;;\-"/>
    <numFmt numFmtId="169" formatCode="#,##0.0"/>
  </numFmts>
  <fonts count="42" x14ac:knownFonts="1">
    <font>
      <sz val="8"/>
      <name val="Arial Narrow"/>
    </font>
    <font>
      <b/>
      <sz val="10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b/>
      <i/>
      <sz val="8"/>
      <name val="Arial Narrow"/>
      <family val="2"/>
    </font>
    <font>
      <b/>
      <sz val="10"/>
      <color indexed="48"/>
      <name val="Arial Narrow"/>
      <family val="2"/>
    </font>
    <font>
      <b/>
      <i/>
      <sz val="8"/>
      <color indexed="4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i/>
      <sz val="8"/>
      <color indexed="48"/>
      <name val="Arial Narrow"/>
      <family val="2"/>
    </font>
    <font>
      <sz val="8"/>
      <name val="Arial Narrow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A7D00"/>
      <name val="Arial"/>
      <family val="2"/>
    </font>
    <font>
      <b/>
      <sz val="10"/>
      <color rgb="FFFA7D00"/>
      <name val="Arial"/>
      <family val="2"/>
    </font>
    <font>
      <sz val="8"/>
      <color rgb="FFFA7D00"/>
      <name val="Arial"/>
      <family val="2"/>
    </font>
    <font>
      <sz val="10"/>
      <color rgb="FFFA7D00"/>
      <name val="Arial"/>
      <family val="2"/>
    </font>
    <font>
      <sz val="8"/>
      <color rgb="FF3F3F76"/>
      <name val="Arial"/>
      <family val="2"/>
    </font>
    <font>
      <sz val="10"/>
      <color rgb="FF3F3F76"/>
      <name val="Arial"/>
      <family val="2"/>
    </font>
    <font>
      <sz val="8"/>
      <color rgb="FF9C0006"/>
      <name val="Arial"/>
      <family val="2"/>
    </font>
    <font>
      <sz val="10"/>
      <color rgb="FF9C0006"/>
      <name val="Arial"/>
      <family val="2"/>
    </font>
    <font>
      <sz val="8"/>
      <color rgb="FF9C6500"/>
      <name val="Arial"/>
      <family val="2"/>
    </font>
    <font>
      <sz val="10"/>
      <color rgb="FF9C6500"/>
      <name val="Arial"/>
      <family val="2"/>
    </font>
    <font>
      <sz val="8"/>
      <color rgb="FF006100"/>
      <name val="Arial"/>
      <family val="2"/>
    </font>
    <font>
      <sz val="10"/>
      <color rgb="FF006100"/>
      <name val="Arial"/>
      <family val="2"/>
    </font>
    <font>
      <b/>
      <sz val="8"/>
      <color rgb="FF3F3F3F"/>
      <name val="Arial"/>
      <family val="2"/>
    </font>
    <font>
      <b/>
      <sz val="10"/>
      <color rgb="FF3F3F3F"/>
      <name val="Arial"/>
      <family val="2"/>
    </font>
    <font>
      <i/>
      <sz val="8"/>
      <color rgb="FF7F7F7F"/>
      <name val="Arial"/>
      <family val="2"/>
    </font>
    <font>
      <i/>
      <sz val="10"/>
      <color rgb="FF7F7F7F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0"/>
      <name val="Arial"/>
      <family val="2"/>
    </font>
    <font>
      <b/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rgb="FF3366FF"/>
      </bottom>
      <diagonal/>
    </border>
  </borders>
  <cellStyleXfs count="78">
    <xf numFmtId="0" fontId="0" fillId="0" borderId="0"/>
    <xf numFmtId="0" fontId="12" fillId="2" borderId="0" applyNumberFormat="0" applyBorder="0" applyAlignment="0" applyProtection="0"/>
    <xf numFmtId="0" fontId="13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3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1" borderId="0" applyNumberFormat="0" applyBorder="0" applyAlignment="0" applyProtection="0"/>
    <xf numFmtId="0" fontId="15" fillId="21" borderId="0" applyNumberFormat="0" applyBorder="0" applyAlignment="0" applyProtection="0"/>
    <xf numFmtId="0" fontId="14" fillId="22" borderId="0" applyNumberFormat="0" applyBorder="0" applyAlignment="0" applyProtection="0"/>
    <xf numFmtId="0" fontId="15" fillId="22" borderId="0" applyNumberFormat="0" applyBorder="0" applyAlignment="0" applyProtection="0"/>
    <xf numFmtId="0" fontId="14" fillId="23" borderId="0" applyNumberFormat="0" applyBorder="0" applyAlignment="0" applyProtection="0"/>
    <xf numFmtId="0" fontId="15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4" borderId="0" applyNumberFormat="0" applyBorder="0" applyAlignment="0" applyProtection="0"/>
    <xf numFmtId="0" fontId="14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6" borderId="3" applyNumberFormat="0" applyAlignment="0" applyProtection="0"/>
    <xf numFmtId="0" fontId="19" fillId="26" borderId="3" applyNumberFormat="0" applyAlignment="0" applyProtection="0"/>
    <xf numFmtId="0" fontId="20" fillId="0" borderId="4" applyNumberFormat="0" applyFill="0" applyAlignment="0" applyProtection="0"/>
    <xf numFmtId="0" fontId="21" fillId="0" borderId="4" applyNumberFormat="0" applyFill="0" applyAlignment="0" applyProtection="0"/>
    <xf numFmtId="0" fontId="13" fillId="27" borderId="5" applyNumberFormat="0" applyFont="0" applyAlignment="0" applyProtection="0"/>
    <xf numFmtId="0" fontId="22" fillId="28" borderId="3" applyNumberFormat="0" applyAlignment="0" applyProtection="0"/>
    <xf numFmtId="0" fontId="23" fillId="28" borderId="3" applyNumberFormat="0" applyAlignment="0" applyProtection="0"/>
    <xf numFmtId="0" fontId="24" fillId="29" borderId="0" applyNumberFormat="0" applyBorder="0" applyAlignment="0" applyProtection="0"/>
    <xf numFmtId="0" fontId="25" fillId="29" borderId="0" applyNumberFormat="0" applyBorder="0" applyAlignment="0" applyProtection="0"/>
    <xf numFmtId="0" fontId="26" fillId="30" borderId="0" applyNumberFormat="0" applyBorder="0" applyAlignment="0" applyProtection="0"/>
    <xf numFmtId="0" fontId="27" fillId="30" borderId="0" applyNumberFormat="0" applyBorder="0" applyAlignment="0" applyProtection="0"/>
    <xf numFmtId="0" fontId="8" fillId="0" borderId="0"/>
    <xf numFmtId="0" fontId="28" fillId="31" borderId="0" applyNumberFormat="0" applyBorder="0" applyAlignment="0" applyProtection="0"/>
    <xf numFmtId="0" fontId="29" fillId="31" borderId="0" applyNumberFormat="0" applyBorder="0" applyAlignment="0" applyProtection="0"/>
    <xf numFmtId="0" fontId="30" fillId="26" borderId="6" applyNumberFormat="0" applyAlignment="0" applyProtection="0"/>
    <xf numFmtId="0" fontId="31" fillId="26" borderId="6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6" fillId="0" borderId="8" applyNumberFormat="0" applyFill="0" applyAlignment="0" applyProtection="0"/>
    <xf numFmtId="0" fontId="37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32" borderId="11" applyNumberFormat="0" applyAlignment="0" applyProtection="0"/>
    <xf numFmtId="0" fontId="41" fillId="32" borderId="11" applyNumberFormat="0" applyAlignment="0" applyProtection="0"/>
  </cellStyleXfs>
  <cellXfs count="74">
    <xf numFmtId="0" fontId="0" fillId="0" borderId="0" xfId="0"/>
    <xf numFmtId="0" fontId="0" fillId="0" borderId="0" xfId="0" applyFont="1"/>
    <xf numFmtId="0" fontId="6" fillId="0" borderId="0" xfId="0" applyFont="1"/>
    <xf numFmtId="0" fontId="0" fillId="0" borderId="0" xfId="0" applyNumberFormat="1" applyFont="1" applyFill="1" applyBorder="1" applyAlignment="1" applyProtection="1"/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0" xfId="0" applyFont="1" applyBorder="1"/>
    <xf numFmtId="0" fontId="0" fillId="0" borderId="12" xfId="0" applyBorder="1"/>
    <xf numFmtId="0" fontId="0" fillId="0" borderId="12" xfId="0" applyBorder="1" applyAlignment="1">
      <alignment horizontal="right"/>
    </xf>
    <xf numFmtId="0" fontId="0" fillId="0" borderId="12" xfId="0" applyFont="1" applyBorder="1"/>
    <xf numFmtId="0" fontId="1" fillId="0" borderId="0" xfId="0" applyNumberFormat="1" applyFont="1"/>
    <xf numFmtId="164" fontId="0" fillId="0" borderId="0" xfId="0" applyNumberFormat="1" applyFont="1" applyAlignment="1" applyProtection="1">
      <alignment horizontal="right"/>
      <protection locked="0"/>
    </xf>
    <xf numFmtId="0" fontId="0" fillId="0" borderId="0" xfId="0" applyNumberFormat="1" applyFont="1"/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NumberFormat="1" applyFont="1"/>
    <xf numFmtId="0" fontId="3" fillId="0" borderId="0" xfId="0" applyNumberFormat="1" applyFont="1"/>
    <xf numFmtId="164" fontId="2" fillId="0" borderId="0" xfId="0" applyNumberFormat="1" applyFont="1" applyAlignment="1" applyProtection="1">
      <alignment horizontal="right"/>
      <protection locked="0"/>
    </xf>
    <xf numFmtId="0" fontId="0" fillId="0" borderId="1" xfId="0" applyBorder="1"/>
    <xf numFmtId="164" fontId="0" fillId="0" borderId="1" xfId="0" applyNumberFormat="1" applyFont="1" applyBorder="1" applyProtection="1">
      <protection locked="0"/>
    </xf>
    <xf numFmtId="0" fontId="0" fillId="0" borderId="1" xfId="0" applyNumberFormat="1" applyFont="1" applyBorder="1" applyAlignment="1" applyProtection="1">
      <alignment horizontal="right"/>
      <protection locked="0"/>
    </xf>
    <xf numFmtId="164" fontId="0" fillId="0" borderId="1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Alignment="1" applyProtection="1">
      <alignment horizontal="right"/>
      <protection locked="0"/>
    </xf>
    <xf numFmtId="164" fontId="0" fillId="0" borderId="2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Protection="1">
      <protection locked="0"/>
    </xf>
    <xf numFmtId="164" fontId="0" fillId="0" borderId="0" xfId="0" applyNumberFormat="1" applyFont="1" applyBorder="1" applyAlignment="1" applyProtection="1">
      <alignment horizontal="right"/>
      <protection locked="0"/>
    </xf>
    <xf numFmtId="0" fontId="0" fillId="0" borderId="0" xfId="0" applyNumberFormat="1" applyFont="1" applyBorder="1" applyAlignment="1" applyProtection="1">
      <alignment horizontal="right"/>
      <protection locked="0"/>
    </xf>
    <xf numFmtId="164" fontId="0" fillId="0" borderId="0" xfId="0" applyNumberFormat="1" applyFont="1" applyAlignment="1" applyProtection="1">
      <alignment horizontal="right" wrapText="1"/>
      <protection locked="0"/>
    </xf>
    <xf numFmtId="164" fontId="0" fillId="0" borderId="0" xfId="0" applyNumberFormat="1" applyFont="1" applyBorder="1" applyProtection="1">
      <protection locked="0"/>
    </xf>
    <xf numFmtId="164" fontId="7" fillId="0" borderId="0" xfId="0" applyNumberFormat="1" applyFont="1" applyBorder="1" applyProtection="1">
      <protection locked="0"/>
    </xf>
    <xf numFmtId="0" fontId="4" fillId="0" borderId="0" xfId="0" applyFont="1"/>
    <xf numFmtId="164" fontId="4" fillId="0" borderId="0" xfId="0" applyNumberFormat="1" applyFont="1" applyProtection="1">
      <protection locked="0"/>
    </xf>
    <xf numFmtId="164" fontId="7" fillId="0" borderId="0" xfId="0" applyNumberFormat="1" applyFont="1" applyProtection="1">
      <protection locked="0"/>
    </xf>
    <xf numFmtId="166" fontId="0" fillId="0" borderId="0" xfId="0" applyNumberFormat="1" applyFont="1" applyAlignment="1" applyProtection="1">
      <alignment horizontal="right"/>
      <protection locked="0"/>
    </xf>
    <xf numFmtId="3" fontId="5" fillId="0" borderId="0" xfId="0" quotePrefix="1" applyNumberFormat="1" applyFont="1" applyFill="1" applyAlignment="1">
      <alignment horizontal="left"/>
    </xf>
    <xf numFmtId="3" fontId="0" fillId="0" borderId="0" xfId="0" applyNumberFormat="1" applyFont="1" applyProtection="1">
      <protection locked="0"/>
    </xf>
    <xf numFmtId="165" fontId="0" fillId="0" borderId="0" xfId="0" applyNumberFormat="1" applyFont="1" applyProtection="1">
      <protection locked="0"/>
    </xf>
    <xf numFmtId="0" fontId="0" fillId="0" borderId="1" xfId="0" applyNumberFormat="1" applyFont="1" applyBorder="1" applyProtection="1">
      <protection locked="0"/>
    </xf>
    <xf numFmtId="0" fontId="8" fillId="0" borderId="0" xfId="0" applyFont="1" applyAlignment="1">
      <alignment horizontal="right"/>
    </xf>
    <xf numFmtId="164" fontId="8" fillId="0" borderId="0" xfId="0" applyNumberFormat="1" applyFont="1" applyAlignment="1" applyProtection="1">
      <alignment horizontal="right"/>
      <protection locked="0"/>
    </xf>
    <xf numFmtId="164" fontId="8" fillId="0" borderId="0" xfId="0" applyNumberFormat="1" applyFont="1" applyProtection="1">
      <protection locked="0"/>
    </xf>
    <xf numFmtId="164" fontId="8" fillId="0" borderId="0" xfId="0" applyNumberFormat="1" applyFont="1" applyBorder="1" applyAlignment="1" applyProtection="1">
      <alignment horizontal="right"/>
      <protection locked="0"/>
    </xf>
    <xf numFmtId="167" fontId="8" fillId="0" borderId="0" xfId="62" applyNumberFormat="1"/>
    <xf numFmtId="167" fontId="4" fillId="0" borderId="0" xfId="62" applyNumberFormat="1" applyFont="1" applyAlignment="1" applyProtection="1">
      <alignment horizontal="right"/>
      <protection locked="0"/>
    </xf>
    <xf numFmtId="168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Alignment="1" applyProtection="1">
      <alignment horizontal="right"/>
      <protection locked="0"/>
    </xf>
    <xf numFmtId="164" fontId="4" fillId="0" borderId="0" xfId="62" applyNumberFormat="1" applyFont="1" applyAlignment="1" applyProtection="1">
      <alignment horizontal="right"/>
      <protection locked="0"/>
    </xf>
    <xf numFmtId="3" fontId="4" fillId="0" borderId="0" xfId="62" applyNumberFormat="1" applyFont="1" applyFill="1"/>
    <xf numFmtId="168" fontId="4" fillId="0" borderId="0" xfId="62" applyNumberFormat="1" applyFont="1" applyFill="1"/>
    <xf numFmtId="169" fontId="4" fillId="0" borderId="0" xfId="62" applyNumberFormat="1" applyFont="1" applyFill="1"/>
    <xf numFmtId="0" fontId="4" fillId="0" borderId="0" xfId="62" applyFont="1" applyFill="1"/>
    <xf numFmtId="166" fontId="4" fillId="0" borderId="0" xfId="62" applyNumberFormat="1" applyFont="1" applyFill="1"/>
    <xf numFmtId="167" fontId="11" fillId="0" borderId="0" xfId="62" applyNumberFormat="1" applyFont="1" applyAlignment="1" applyProtection="1">
      <alignment horizontal="right"/>
      <protection locked="0"/>
    </xf>
    <xf numFmtId="168" fontId="11" fillId="0" borderId="0" xfId="62" applyNumberFormat="1" applyFont="1" applyAlignment="1" applyProtection="1">
      <alignment horizontal="right"/>
      <protection locked="0"/>
    </xf>
    <xf numFmtId="3" fontId="11" fillId="0" borderId="0" xfId="62" applyNumberFormat="1" applyFont="1" applyAlignment="1" applyProtection="1">
      <alignment horizontal="right"/>
      <protection locked="0"/>
    </xf>
    <xf numFmtId="164" fontId="11" fillId="0" borderId="0" xfId="62" applyNumberFormat="1" applyFont="1" applyAlignment="1" applyProtection="1">
      <alignment horizontal="right"/>
      <protection locked="0"/>
    </xf>
    <xf numFmtId="3" fontId="11" fillId="0" borderId="0" xfId="62" applyNumberFormat="1" applyFont="1"/>
    <xf numFmtId="167" fontId="0" fillId="0" borderId="0" xfId="0" applyNumberFormat="1"/>
    <xf numFmtId="167" fontId="0" fillId="0" borderId="0" xfId="0" applyNumberFormat="1" applyFont="1" applyAlignment="1" applyProtection="1">
      <alignment horizontal="right"/>
      <protection locked="0"/>
    </xf>
    <xf numFmtId="168" fontId="0" fillId="0" borderId="0" xfId="0" applyNumberFormat="1" applyFont="1" applyAlignment="1" applyProtection="1">
      <alignment horizontal="right"/>
      <protection locked="0"/>
    </xf>
    <xf numFmtId="3" fontId="0" fillId="0" borderId="0" xfId="0" applyNumberFormat="1" applyFont="1" applyAlignment="1" applyProtection="1">
      <alignment horizontal="right"/>
      <protection locked="0"/>
    </xf>
    <xf numFmtId="167" fontId="4" fillId="0" borderId="0" xfId="0" applyNumberFormat="1" applyFont="1" applyAlignment="1" applyProtection="1">
      <alignment horizontal="right"/>
      <protection locked="0"/>
    </xf>
    <xf numFmtId="168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/>
      <protection locked="0"/>
    </xf>
    <xf numFmtId="3" fontId="4" fillId="0" borderId="0" xfId="0" applyNumberFormat="1" applyFont="1" applyFill="1"/>
    <xf numFmtId="168" fontId="4" fillId="0" borderId="0" xfId="0" applyNumberFormat="1" applyFont="1" applyFill="1"/>
    <xf numFmtId="3" fontId="0" fillId="0" borderId="0" xfId="0" applyNumberFormat="1" applyFont="1"/>
    <xf numFmtId="169" fontId="4" fillId="0" borderId="0" xfId="0" applyNumberFormat="1" applyFont="1" applyFill="1"/>
    <xf numFmtId="0" fontId="4" fillId="0" borderId="0" xfId="0" applyFont="1" applyFill="1"/>
    <xf numFmtId="166" fontId="4" fillId="0" borderId="0" xfId="0" applyNumberFormat="1" applyFont="1" applyFill="1"/>
    <xf numFmtId="3" fontId="8" fillId="0" borderId="0" xfId="0" applyNumberFormat="1" applyFont="1" applyFill="1"/>
    <xf numFmtId="3" fontId="9" fillId="0" borderId="0" xfId="0" applyNumberFormat="1" applyFont="1" applyFill="1"/>
    <xf numFmtId="166" fontId="0" fillId="0" borderId="0" xfId="0" applyNumberFormat="1"/>
  </cellXfs>
  <cellStyles count="78">
    <cellStyle name="20 % - Accent1" xfId="1" builtinId="30" customBuiltin="1"/>
    <cellStyle name="20 % - Accent1 2" xfId="2" xr:uid="{9FAF5ABD-2944-4B83-A46F-AB0B72494A22}"/>
    <cellStyle name="20 % - Accent2" xfId="3" builtinId="34" customBuiltin="1"/>
    <cellStyle name="20 % - Accent2 2" xfId="4" xr:uid="{D6AC71F0-1BBB-484F-A2F7-5F084CC44F86}"/>
    <cellStyle name="20 % - Accent3" xfId="5" builtinId="38" customBuiltin="1"/>
    <cellStyle name="20 % - Accent3 2" xfId="6" xr:uid="{382A7256-2566-4634-A052-C755602C4AD7}"/>
    <cellStyle name="20 % - Accent4" xfId="7" builtinId="42" customBuiltin="1"/>
    <cellStyle name="20 % - Accent4 2" xfId="8" xr:uid="{D3C4A1D3-B4A6-46E3-81C7-27CA5BA193B8}"/>
    <cellStyle name="20 % - Accent5" xfId="9" builtinId="46" customBuiltin="1"/>
    <cellStyle name="20 % - Accent5 2" xfId="10" xr:uid="{B02E6B87-E792-49F3-90C2-21ABFF0B7E85}"/>
    <cellStyle name="20 % - Accent6" xfId="11" builtinId="50" customBuiltin="1"/>
    <cellStyle name="20 % - Accent6 2" xfId="12" xr:uid="{B47A8BEB-2A61-483F-94D8-C4B8DF1BF5F5}"/>
    <cellStyle name="40 % - Accent1" xfId="13" builtinId="31" customBuiltin="1"/>
    <cellStyle name="40 % - Accent1 2" xfId="14" xr:uid="{CC9B8805-A224-4EE8-90A2-B630264AB63A}"/>
    <cellStyle name="40 % - Accent2" xfId="15" builtinId="35" customBuiltin="1"/>
    <cellStyle name="40 % - Accent2 2" xfId="16" xr:uid="{CDF428A7-C360-420F-B806-759D74EB49FB}"/>
    <cellStyle name="40 % - Accent3" xfId="17" builtinId="39" customBuiltin="1"/>
    <cellStyle name="40 % - Accent3 2" xfId="18" xr:uid="{D1900A56-E62B-491A-9B79-E720785E4A01}"/>
    <cellStyle name="40 % - Accent4" xfId="19" builtinId="43" customBuiltin="1"/>
    <cellStyle name="40 % - Accent4 2" xfId="20" xr:uid="{2ECDDBDF-E60A-454B-8F42-662904BCF945}"/>
    <cellStyle name="40 % - Accent5" xfId="21" builtinId="47" customBuiltin="1"/>
    <cellStyle name="40 % - Accent5 2" xfId="22" xr:uid="{2FF04CDF-113F-43F5-AF5B-FC5101968B7D}"/>
    <cellStyle name="40 % - Accent6" xfId="23" builtinId="51" customBuiltin="1"/>
    <cellStyle name="40 % - Accent6 2" xfId="24" xr:uid="{D2F15A5D-B773-4833-A752-4A19A7B5C6C2}"/>
    <cellStyle name="60 % - Accent1" xfId="25" builtinId="32" customBuiltin="1"/>
    <cellStyle name="60 % - Accent1 2" xfId="26" xr:uid="{DAA3D07C-F662-43DA-9CE1-0510DF9B6CBB}"/>
    <cellStyle name="60 % - Accent2" xfId="27" builtinId="36" customBuiltin="1"/>
    <cellStyle name="60 % - Accent2 2" xfId="28" xr:uid="{6706D446-C19E-4AFD-9ED5-7D19DB14509B}"/>
    <cellStyle name="60 % - Accent3" xfId="29" builtinId="40" customBuiltin="1"/>
    <cellStyle name="60 % - Accent3 2" xfId="30" xr:uid="{2414B739-D8C2-43CE-9794-17A7C106D9C6}"/>
    <cellStyle name="60 % - Accent4" xfId="31" builtinId="44" customBuiltin="1"/>
    <cellStyle name="60 % - Accent4 2" xfId="32" xr:uid="{34586D3E-9942-4ACE-9EB4-FEC38452A6C6}"/>
    <cellStyle name="60 % - Accent5" xfId="33" builtinId="48" customBuiltin="1"/>
    <cellStyle name="60 % - Accent5 2" xfId="34" xr:uid="{B3121C69-1DB4-41A6-9AEE-35DB64F92171}"/>
    <cellStyle name="60 % - Accent6" xfId="35" builtinId="52" customBuiltin="1"/>
    <cellStyle name="60 % - Accent6 2" xfId="36" xr:uid="{F2A01184-7DDB-4FA7-AF71-00A8C4F3EC56}"/>
    <cellStyle name="Accent1" xfId="37" builtinId="29" customBuiltin="1"/>
    <cellStyle name="Accent1 2" xfId="38" xr:uid="{0E97E4E9-34AE-4BB5-B660-9A964018F616}"/>
    <cellStyle name="Accent2" xfId="39" builtinId="33" customBuiltin="1"/>
    <cellStyle name="Accent2 2" xfId="40" xr:uid="{6B36280D-7EF8-440B-9F7E-B2E8623C8BDD}"/>
    <cellStyle name="Accent3" xfId="41" builtinId="37" customBuiltin="1"/>
    <cellStyle name="Accent3 2" xfId="42" xr:uid="{B180ECCA-E05D-4EEE-9F74-B94AF435D53C}"/>
    <cellStyle name="Accent4" xfId="43" builtinId="41" customBuiltin="1"/>
    <cellStyle name="Accent4 2" xfId="44" xr:uid="{C45B4440-CC3D-4C2F-9475-DD43C9F5890A}"/>
    <cellStyle name="Accent5" xfId="45" builtinId="45" customBuiltin="1"/>
    <cellStyle name="Accent5 2" xfId="46" xr:uid="{D9D18334-3CC2-4E79-A3E9-F70026975D88}"/>
    <cellStyle name="Accent6" xfId="47" builtinId="49" customBuiltin="1"/>
    <cellStyle name="Accent6 2" xfId="48" xr:uid="{03DC8DF5-3F5A-4F18-B1DA-8B2F0CE4B801}"/>
    <cellStyle name="Avertissement" xfId="49" builtinId="11" customBuiltin="1"/>
    <cellStyle name="Avertissement 2" xfId="50" xr:uid="{28795CB9-B208-4FEF-961C-F987DFE87C6F}"/>
    <cellStyle name="Calcul" xfId="51" builtinId="22" customBuiltin="1"/>
    <cellStyle name="Calcul 2" xfId="52" xr:uid="{C8D4000B-4275-4240-832F-6BFB5687A676}"/>
    <cellStyle name="Cellule liée" xfId="53" builtinId="24" customBuiltin="1"/>
    <cellStyle name="Cellule liée 2" xfId="54" xr:uid="{7A468600-4FC9-47E8-BE49-3A62DA7F76D5}"/>
    <cellStyle name="Commentaire 2" xfId="55" xr:uid="{3F0B16BF-162B-434D-A8C6-BD20BD94DC85}"/>
    <cellStyle name="Entrée" xfId="56" builtinId="20" customBuiltin="1"/>
    <cellStyle name="Entrée 2" xfId="57" xr:uid="{84F19AE3-5579-415C-A301-E6DE8298D88F}"/>
    <cellStyle name="Insatisfaisant" xfId="58" builtinId="27" customBuiltin="1"/>
    <cellStyle name="Insatisfaisant 2" xfId="59" xr:uid="{D65F9855-C62F-4A31-9733-BCA9665D27D0}"/>
    <cellStyle name="Neutre" xfId="60" builtinId="28" customBuiltin="1"/>
    <cellStyle name="Neutre 2" xfId="61" xr:uid="{737B65A3-DFC4-4BD0-96FF-88A4BD9ECD3E}"/>
    <cellStyle name="Normal" xfId="0" builtinId="0" customBuiltin="1"/>
    <cellStyle name="Normal 2" xfId="62" xr:uid="{875D23E2-3FAD-47A9-9AA3-B25E4DBDEFFE}"/>
    <cellStyle name="Satisfaisant" xfId="63" builtinId="26" customBuiltin="1"/>
    <cellStyle name="Satisfaisant 2" xfId="64" xr:uid="{5CCE8E5A-A4BA-40A1-8898-F093C915F433}"/>
    <cellStyle name="Sortie" xfId="65" builtinId="21" customBuiltin="1"/>
    <cellStyle name="Sortie 2" xfId="66" xr:uid="{A1D38F3F-C192-492F-A478-45A087BB58A0}"/>
    <cellStyle name="Texte explicatif" xfId="67" builtinId="53" customBuiltin="1"/>
    <cellStyle name="Texte explicatif 2" xfId="68" xr:uid="{ED35ECDA-802A-4248-8576-CA343ED4AC46}"/>
    <cellStyle name="Titre" xfId="69" builtinId="15" customBuiltin="1"/>
    <cellStyle name="Titre 1" xfId="70" builtinId="16" customBuiltin="1"/>
    <cellStyle name="Titre 2" xfId="71" builtinId="17" customBuiltin="1"/>
    <cellStyle name="Titre 3" xfId="72" builtinId="18" customBuiltin="1"/>
    <cellStyle name="Titre 4" xfId="73" builtinId="19" customBuiltin="1"/>
    <cellStyle name="Total" xfId="74" builtinId="25" customBuiltin="1"/>
    <cellStyle name="Total 2" xfId="75" xr:uid="{AC071E98-7465-492A-BDE8-5A60CE429C2D}"/>
    <cellStyle name="Vérification" xfId="76" builtinId="23" customBuiltin="1"/>
    <cellStyle name="Vérification 2" xfId="77" xr:uid="{67C5D386-36EE-432F-80EB-04CCA32237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20486" name="Picture 1" descr="logo stat-ge">
          <a:extLst>
            <a:ext uri="{FF2B5EF4-FFF2-40B4-BE49-F238E27FC236}">
              <a16:creationId xmlns:a16="http://schemas.microsoft.com/office/drawing/2014/main" id="{FF49379E-1ED2-3BD4-C073-0909A1055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9467" name="Picture 1" descr="logo stat-ge">
          <a:extLst>
            <a:ext uri="{FF2B5EF4-FFF2-40B4-BE49-F238E27FC236}">
              <a16:creationId xmlns:a16="http://schemas.microsoft.com/office/drawing/2014/main" id="{9B0BBA19-61DA-D09D-F205-2CF84F53E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8450" name="Picture 1" descr="logo stat-ge">
          <a:extLst>
            <a:ext uri="{FF2B5EF4-FFF2-40B4-BE49-F238E27FC236}">
              <a16:creationId xmlns:a16="http://schemas.microsoft.com/office/drawing/2014/main" id="{EE4027DF-4C9E-AE6D-E206-E5FF493C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0</xdr:row>
      <xdr:rowOff>0</xdr:rowOff>
    </xdr:from>
    <xdr:to>
      <xdr:col>13</xdr:col>
      <xdr:colOff>419100</xdr:colOff>
      <xdr:row>1</xdr:row>
      <xdr:rowOff>38100</xdr:rowOff>
    </xdr:to>
    <xdr:pic>
      <xdr:nvPicPr>
        <xdr:cNvPr id="17435" name="Picture 1" descr="logo stat-ge">
          <a:extLst>
            <a:ext uri="{FF2B5EF4-FFF2-40B4-BE49-F238E27FC236}">
              <a16:creationId xmlns:a16="http://schemas.microsoft.com/office/drawing/2014/main" id="{63FCCCF1-E642-9CA5-AF5B-22F7E4FB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6900" y="0"/>
          <a:ext cx="8286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DA3CF-FA27-43AB-B126-6B761F53938C}">
  <dimension ref="A1:AB59"/>
  <sheetViews>
    <sheetView tabSelected="1"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" customHeight="1" x14ac:dyDescent="0.3">
      <c r="A5" s="15" t="s">
        <v>59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56</v>
      </c>
      <c r="F11" s="11"/>
      <c r="G11" s="11" t="s">
        <v>2</v>
      </c>
      <c r="H11" s="11"/>
      <c r="I11" s="11" t="s">
        <v>2</v>
      </c>
      <c r="J11" s="27" t="s">
        <v>56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57">
        <v>4250</v>
      </c>
      <c r="C16" s="57">
        <v>4103</v>
      </c>
      <c r="D16" s="58">
        <v>8353</v>
      </c>
      <c r="E16" s="59">
        <v>49.120076619000002</v>
      </c>
      <c r="F16" s="60"/>
      <c r="G16" s="57">
        <v>1657</v>
      </c>
      <c r="H16" s="57">
        <v>1664</v>
      </c>
      <c r="I16" s="58">
        <v>3321</v>
      </c>
      <c r="J16" s="59">
        <v>50.105389942999999</v>
      </c>
      <c r="K16" s="11"/>
      <c r="L16" s="59">
        <v>38.988235293999999</v>
      </c>
      <c r="M16" s="59">
        <v>40.555690958</v>
      </c>
      <c r="N16" s="59">
        <v>39.758170716999999</v>
      </c>
    </row>
    <row r="17" spans="1:14" ht="12" customHeight="1" x14ac:dyDescent="0.2">
      <c r="A17" s="24" t="s">
        <v>24</v>
      </c>
      <c r="B17" s="57">
        <v>10895</v>
      </c>
      <c r="C17" s="57">
        <v>10885</v>
      </c>
      <c r="D17" s="58">
        <v>21780</v>
      </c>
      <c r="E17" s="59">
        <v>49.977043158999997</v>
      </c>
      <c r="F17" s="60"/>
      <c r="G17" s="57">
        <v>3866</v>
      </c>
      <c r="H17" s="57">
        <v>4439</v>
      </c>
      <c r="I17" s="58">
        <v>8305</v>
      </c>
      <c r="J17" s="59">
        <v>53.449729079000001</v>
      </c>
      <c r="K17" s="11"/>
      <c r="L17" s="59">
        <v>35.484167049</v>
      </c>
      <c r="M17" s="59">
        <v>40.780891134999997</v>
      </c>
      <c r="N17" s="59">
        <v>38.131313130999999</v>
      </c>
    </row>
    <row r="18" spans="1:14" ht="12" customHeight="1" x14ac:dyDescent="0.2">
      <c r="A18" s="24" t="s">
        <v>25</v>
      </c>
      <c r="B18" s="57">
        <v>10548</v>
      </c>
      <c r="C18" s="57">
        <v>10616</v>
      </c>
      <c r="D18" s="58">
        <v>21164</v>
      </c>
      <c r="E18" s="59">
        <v>50.160650161</v>
      </c>
      <c r="F18" s="60"/>
      <c r="G18" s="57">
        <v>4035</v>
      </c>
      <c r="H18" s="57">
        <v>4538</v>
      </c>
      <c r="I18" s="58">
        <v>8573</v>
      </c>
      <c r="J18" s="59">
        <v>52.933628835</v>
      </c>
      <c r="K18" s="11"/>
      <c r="L18" s="59">
        <v>38.253697383000002</v>
      </c>
      <c r="M18" s="59">
        <v>42.746797287</v>
      </c>
      <c r="N18" s="59">
        <v>40.507465506999999</v>
      </c>
    </row>
    <row r="19" spans="1:14" ht="12" customHeight="1" x14ac:dyDescent="0.2">
      <c r="A19" s="24" t="s">
        <v>30</v>
      </c>
      <c r="B19" s="57">
        <v>9585</v>
      </c>
      <c r="C19" s="57">
        <v>10063</v>
      </c>
      <c r="D19" s="58">
        <v>19648</v>
      </c>
      <c r="E19" s="59">
        <v>51.216408795</v>
      </c>
      <c r="F19" s="60"/>
      <c r="G19" s="57">
        <v>4069</v>
      </c>
      <c r="H19" s="57">
        <v>4475</v>
      </c>
      <c r="I19" s="58">
        <v>8544</v>
      </c>
      <c r="J19" s="59">
        <v>52.375936330000002</v>
      </c>
      <c r="K19" s="11"/>
      <c r="L19" s="59">
        <v>42.451747521999998</v>
      </c>
      <c r="M19" s="59">
        <v>44.469840007999998</v>
      </c>
      <c r="N19" s="59">
        <v>43.485342019999997</v>
      </c>
    </row>
    <row r="20" spans="1:14" ht="12" customHeight="1" x14ac:dyDescent="0.2">
      <c r="A20" s="24" t="s">
        <v>31</v>
      </c>
      <c r="B20" s="57">
        <v>8506</v>
      </c>
      <c r="C20" s="57">
        <v>9482</v>
      </c>
      <c r="D20" s="58">
        <v>17988</v>
      </c>
      <c r="E20" s="59">
        <v>52.712919724000002</v>
      </c>
      <c r="F20" s="60"/>
      <c r="G20" s="57">
        <v>3956</v>
      </c>
      <c r="H20" s="57">
        <v>4555</v>
      </c>
      <c r="I20" s="58">
        <v>8511</v>
      </c>
      <c r="J20" s="59">
        <v>53.518975443999999</v>
      </c>
      <c r="K20" s="11"/>
      <c r="L20" s="59">
        <v>46.508347049000001</v>
      </c>
      <c r="M20" s="59">
        <v>48.038388525999999</v>
      </c>
      <c r="N20" s="59">
        <v>47.314876583999997</v>
      </c>
    </row>
    <row r="21" spans="1:14" ht="15.9" customHeight="1" x14ac:dyDescent="0.2">
      <c r="A21" s="24" t="s">
        <v>32</v>
      </c>
      <c r="B21" s="57">
        <v>9152</v>
      </c>
      <c r="C21" s="57">
        <v>10528</v>
      </c>
      <c r="D21" s="58">
        <v>19680</v>
      </c>
      <c r="E21" s="59">
        <v>53.495934959000003</v>
      </c>
      <c r="F21" s="60"/>
      <c r="G21" s="57">
        <v>4637</v>
      </c>
      <c r="H21" s="57">
        <v>5412</v>
      </c>
      <c r="I21" s="58">
        <v>10049</v>
      </c>
      <c r="J21" s="59">
        <v>53.856105085000003</v>
      </c>
      <c r="K21" s="11"/>
      <c r="L21" s="59">
        <v>50.666520978999998</v>
      </c>
      <c r="M21" s="59">
        <v>51.405775075999998</v>
      </c>
      <c r="N21" s="59">
        <v>51.06199187</v>
      </c>
    </row>
    <row r="22" spans="1:14" ht="12" customHeight="1" x14ac:dyDescent="0.2">
      <c r="A22" s="24" t="s">
        <v>33</v>
      </c>
      <c r="B22" s="57">
        <v>10372</v>
      </c>
      <c r="C22" s="57">
        <v>11985</v>
      </c>
      <c r="D22" s="58">
        <v>22357</v>
      </c>
      <c r="E22" s="59">
        <v>53.607371293</v>
      </c>
      <c r="F22" s="60"/>
      <c r="G22" s="57">
        <v>5687</v>
      </c>
      <c r="H22" s="57">
        <v>6610</v>
      </c>
      <c r="I22" s="58">
        <v>12297</v>
      </c>
      <c r="J22" s="59">
        <v>53.752947872999997</v>
      </c>
      <c r="K22" s="11"/>
      <c r="L22" s="59">
        <v>54.830312378999999</v>
      </c>
      <c r="M22" s="59">
        <v>55.152273675000004</v>
      </c>
      <c r="N22" s="59">
        <v>55.002907366999999</v>
      </c>
    </row>
    <row r="23" spans="1:14" ht="12" customHeight="1" x14ac:dyDescent="0.2">
      <c r="A23" s="24" t="s">
        <v>34</v>
      </c>
      <c r="B23" s="57">
        <v>10989</v>
      </c>
      <c r="C23" s="57">
        <v>12687</v>
      </c>
      <c r="D23" s="58">
        <v>23676</v>
      </c>
      <c r="E23" s="59">
        <v>53.585909782000002</v>
      </c>
      <c r="F23" s="60"/>
      <c r="G23" s="57">
        <v>6323</v>
      </c>
      <c r="H23" s="57">
        <v>7432</v>
      </c>
      <c r="I23" s="58">
        <v>13755</v>
      </c>
      <c r="J23" s="59">
        <v>54.031261360000002</v>
      </c>
      <c r="K23" s="11"/>
      <c r="L23" s="59">
        <v>57.539357539000001</v>
      </c>
      <c r="M23" s="59">
        <v>58.579648458999998</v>
      </c>
      <c r="N23" s="59">
        <v>58.096806893</v>
      </c>
    </row>
    <row r="24" spans="1:14" ht="12" customHeight="1" x14ac:dyDescent="0.2">
      <c r="A24" s="24" t="s">
        <v>35</v>
      </c>
      <c r="B24" s="57">
        <v>11736</v>
      </c>
      <c r="C24" s="57">
        <v>13778</v>
      </c>
      <c r="D24" s="58">
        <v>25514</v>
      </c>
      <c r="E24" s="59">
        <v>54.001724543000002</v>
      </c>
      <c r="F24" s="60"/>
      <c r="G24" s="57">
        <v>7167</v>
      </c>
      <c r="H24" s="57">
        <v>8372</v>
      </c>
      <c r="I24" s="58">
        <v>15539</v>
      </c>
      <c r="J24" s="59">
        <v>53.877340883999999</v>
      </c>
      <c r="K24" s="11"/>
      <c r="L24" s="59">
        <v>61.068507156999999</v>
      </c>
      <c r="M24" s="59">
        <v>60.763536072000001</v>
      </c>
      <c r="N24" s="59">
        <v>60.903817512000003</v>
      </c>
    </row>
    <row r="25" spans="1:14" ht="12" customHeight="1" x14ac:dyDescent="0.2">
      <c r="A25" s="24" t="s">
        <v>36</v>
      </c>
      <c r="B25" s="57">
        <v>9890</v>
      </c>
      <c r="C25" s="57">
        <v>11424</v>
      </c>
      <c r="D25" s="58">
        <v>21314</v>
      </c>
      <c r="E25" s="59">
        <v>53.598573707</v>
      </c>
      <c r="F25" s="60"/>
      <c r="G25" s="57">
        <v>6370</v>
      </c>
      <c r="H25" s="57">
        <v>7201</v>
      </c>
      <c r="I25" s="58">
        <v>13571</v>
      </c>
      <c r="J25" s="59">
        <v>53.061675631999996</v>
      </c>
      <c r="K25" s="11"/>
      <c r="L25" s="59">
        <v>64.408493428</v>
      </c>
      <c r="M25" s="59">
        <v>63.033963585000002</v>
      </c>
      <c r="N25" s="59">
        <v>63.671765037</v>
      </c>
    </row>
    <row r="26" spans="1:14" ht="15.9" customHeight="1" x14ac:dyDescent="0.2">
      <c r="A26" s="24" t="s">
        <v>37</v>
      </c>
      <c r="B26" s="57">
        <v>7878</v>
      </c>
      <c r="C26" s="57">
        <v>9982</v>
      </c>
      <c r="D26" s="58">
        <v>17860</v>
      </c>
      <c r="E26" s="59">
        <v>55.890257558999998</v>
      </c>
      <c r="F26" s="60"/>
      <c r="G26" s="57">
        <v>5250</v>
      </c>
      <c r="H26" s="57">
        <v>6551</v>
      </c>
      <c r="I26" s="58">
        <v>11801</v>
      </c>
      <c r="J26" s="59">
        <v>55.512244725000002</v>
      </c>
      <c r="K26" s="11"/>
      <c r="L26" s="59">
        <v>66.641279513000001</v>
      </c>
      <c r="M26" s="59">
        <v>65.628130635000005</v>
      </c>
      <c r="N26" s="59">
        <v>66.075027996000003</v>
      </c>
    </row>
    <row r="27" spans="1:14" ht="12" customHeight="1" x14ac:dyDescent="0.2">
      <c r="A27" s="24" t="s">
        <v>38</v>
      </c>
      <c r="B27" s="57">
        <v>6855</v>
      </c>
      <c r="C27" s="57">
        <v>9538</v>
      </c>
      <c r="D27" s="58">
        <v>16393</v>
      </c>
      <c r="E27" s="59">
        <v>58.183370951000001</v>
      </c>
      <c r="F27" s="60"/>
      <c r="G27" s="57">
        <v>4697</v>
      </c>
      <c r="H27" s="57">
        <v>6283</v>
      </c>
      <c r="I27" s="58">
        <v>10980</v>
      </c>
      <c r="J27" s="59">
        <v>57.222222221999999</v>
      </c>
      <c r="K27" s="11"/>
      <c r="L27" s="59">
        <v>68.519328956999999</v>
      </c>
      <c r="M27" s="59">
        <v>65.873348710000002</v>
      </c>
      <c r="N27" s="59">
        <v>66.979808454999997</v>
      </c>
    </row>
    <row r="28" spans="1:14" ht="12" customHeight="1" x14ac:dyDescent="0.2">
      <c r="A28" s="24" t="s">
        <v>39</v>
      </c>
      <c r="B28" s="57">
        <v>6387</v>
      </c>
      <c r="C28" s="57">
        <v>9077</v>
      </c>
      <c r="D28" s="58">
        <v>15464</v>
      </c>
      <c r="E28" s="59">
        <v>58.697620278999999</v>
      </c>
      <c r="F28" s="60"/>
      <c r="G28" s="57">
        <v>4518</v>
      </c>
      <c r="H28" s="57">
        <v>5918</v>
      </c>
      <c r="I28" s="58">
        <v>10436</v>
      </c>
      <c r="J28" s="59">
        <v>56.707550785999999</v>
      </c>
      <c r="K28" s="11"/>
      <c r="L28" s="59">
        <v>70.737435415999997</v>
      </c>
      <c r="M28" s="59">
        <v>65.197752561000001</v>
      </c>
      <c r="N28" s="59">
        <v>67.485773409000004</v>
      </c>
    </row>
    <row r="29" spans="1:14" ht="12" customHeight="1" x14ac:dyDescent="0.2">
      <c r="A29" s="24" t="s">
        <v>40</v>
      </c>
      <c r="B29" s="57">
        <v>4028</v>
      </c>
      <c r="C29" s="57">
        <v>6176</v>
      </c>
      <c r="D29" s="58">
        <v>10204</v>
      </c>
      <c r="E29" s="59">
        <v>60.525284202000002</v>
      </c>
      <c r="F29" s="60"/>
      <c r="G29" s="57">
        <v>2726</v>
      </c>
      <c r="H29" s="57">
        <v>3676</v>
      </c>
      <c r="I29" s="58">
        <v>6402</v>
      </c>
      <c r="J29" s="59">
        <v>57.419556389</v>
      </c>
      <c r="K29" s="11"/>
      <c r="L29" s="59">
        <v>67.676266136999999</v>
      </c>
      <c r="M29" s="59">
        <v>59.520725388999999</v>
      </c>
      <c r="N29" s="59">
        <v>62.740101920999997</v>
      </c>
    </row>
    <row r="30" spans="1:14" ht="12" customHeight="1" x14ac:dyDescent="0.2">
      <c r="A30" s="24" t="s">
        <v>41</v>
      </c>
      <c r="B30" s="57">
        <v>2598</v>
      </c>
      <c r="C30" s="57">
        <v>4272</v>
      </c>
      <c r="D30" s="58">
        <v>6870</v>
      </c>
      <c r="E30" s="59">
        <v>62.183406114</v>
      </c>
      <c r="F30" s="60"/>
      <c r="G30" s="57">
        <v>1546</v>
      </c>
      <c r="H30" s="57">
        <v>2059</v>
      </c>
      <c r="I30" s="58">
        <v>3605</v>
      </c>
      <c r="J30" s="59">
        <v>57.115117892000001</v>
      </c>
      <c r="K30" s="11"/>
      <c r="L30" s="59">
        <v>59.507313318000001</v>
      </c>
      <c r="M30" s="59">
        <v>48.197565543000003</v>
      </c>
      <c r="N30" s="59">
        <v>52.474526929</v>
      </c>
    </row>
    <row r="31" spans="1:14" ht="12" customHeight="1" x14ac:dyDescent="0.2">
      <c r="A31" s="24" t="s">
        <v>10</v>
      </c>
      <c r="B31" s="57">
        <v>1334</v>
      </c>
      <c r="C31" s="57">
        <v>3458</v>
      </c>
      <c r="D31" s="58">
        <v>4792</v>
      </c>
      <c r="E31" s="59">
        <v>72.161936561000005</v>
      </c>
      <c r="F31" s="60"/>
      <c r="G31" s="57">
        <v>634</v>
      </c>
      <c r="H31" s="57">
        <v>1168</v>
      </c>
      <c r="I31" s="58">
        <v>1802</v>
      </c>
      <c r="J31" s="59">
        <v>64.816870144000006</v>
      </c>
      <c r="K31" s="11"/>
      <c r="L31" s="59">
        <v>47.526236881999999</v>
      </c>
      <c r="M31" s="59">
        <v>33.776749565999999</v>
      </c>
      <c r="N31" s="59">
        <v>37.604340567999998</v>
      </c>
    </row>
    <row r="32" spans="1:14" s="30" customFormat="1" ht="20.100000000000001" customHeight="1" x14ac:dyDescent="0.2">
      <c r="A32" s="31" t="s">
        <v>6</v>
      </c>
      <c r="B32" s="61">
        <v>125003</v>
      </c>
      <c r="C32" s="61">
        <v>148054</v>
      </c>
      <c r="D32" s="61">
        <v>273057</v>
      </c>
      <c r="E32" s="62">
        <v>54.220913582000001</v>
      </c>
      <c r="F32" s="63"/>
      <c r="G32" s="61">
        <v>67138</v>
      </c>
      <c r="H32" s="61">
        <v>80353</v>
      </c>
      <c r="I32" s="61">
        <v>147491</v>
      </c>
      <c r="J32" s="62">
        <v>54.479934368999999</v>
      </c>
      <c r="K32" s="64"/>
      <c r="L32" s="62">
        <v>53.709110981000002</v>
      </c>
      <c r="M32" s="62">
        <v>54.272765342</v>
      </c>
      <c r="N32" s="62">
        <v>54.014729525</v>
      </c>
    </row>
    <row r="33" spans="1:28" ht="15.9" customHeight="1" x14ac:dyDescent="0.2">
      <c r="A33" s="24" t="s">
        <v>11</v>
      </c>
      <c r="B33" s="57">
        <v>43784</v>
      </c>
      <c r="C33" s="57">
        <v>45149</v>
      </c>
      <c r="D33" s="58">
        <v>88933</v>
      </c>
      <c r="E33" s="59">
        <v>50.767431662</v>
      </c>
      <c r="F33" s="60"/>
      <c r="G33" s="57">
        <v>17583</v>
      </c>
      <c r="H33" s="57">
        <v>19671</v>
      </c>
      <c r="I33" s="58">
        <v>37254</v>
      </c>
      <c r="J33" s="59">
        <v>52.802383636999998</v>
      </c>
      <c r="K33" s="11"/>
      <c r="L33" s="59">
        <v>40.158505390000002</v>
      </c>
      <c r="M33" s="59">
        <v>43.569071297000001</v>
      </c>
      <c r="N33" s="59">
        <v>41.889962105999999</v>
      </c>
    </row>
    <row r="34" spans="1:28" ht="12" customHeight="1" x14ac:dyDescent="0.2">
      <c r="A34" s="24" t="s">
        <v>12</v>
      </c>
      <c r="B34" s="57">
        <v>52139</v>
      </c>
      <c r="C34" s="57">
        <v>60402</v>
      </c>
      <c r="D34" s="58">
        <v>112541</v>
      </c>
      <c r="E34" s="59">
        <v>53.671106530000003</v>
      </c>
      <c r="F34" s="60"/>
      <c r="G34" s="57">
        <v>30184</v>
      </c>
      <c r="H34" s="57">
        <v>35027</v>
      </c>
      <c r="I34" s="58">
        <v>65211</v>
      </c>
      <c r="J34" s="59">
        <v>53.713330573</v>
      </c>
      <c r="K34" s="11"/>
      <c r="L34" s="59">
        <v>57.891405665999997</v>
      </c>
      <c r="M34" s="59">
        <v>57.989801661999998</v>
      </c>
      <c r="N34" s="59">
        <v>57.944215886000002</v>
      </c>
    </row>
    <row r="35" spans="1:28" ht="12" customHeight="1" x14ac:dyDescent="0.2">
      <c r="A35" s="24" t="s">
        <v>13</v>
      </c>
      <c r="B35" s="57">
        <v>29080</v>
      </c>
      <c r="C35" s="57">
        <v>42503</v>
      </c>
      <c r="D35" s="58">
        <v>71583</v>
      </c>
      <c r="E35" s="59">
        <v>59.375829457000002</v>
      </c>
      <c r="F35" s="60"/>
      <c r="G35" s="57">
        <v>19371</v>
      </c>
      <c r="H35" s="57">
        <v>25655</v>
      </c>
      <c r="I35" s="58">
        <v>45026</v>
      </c>
      <c r="J35" s="59">
        <v>56.978190378999997</v>
      </c>
      <c r="K35" s="11"/>
      <c r="L35" s="59">
        <v>66.612792296999999</v>
      </c>
      <c r="M35" s="59">
        <v>60.360445145</v>
      </c>
      <c r="N35" s="59">
        <v>62.900409314999997</v>
      </c>
    </row>
    <row r="36" spans="1:28" ht="20.100000000000001" customHeight="1" x14ac:dyDescent="0.2">
      <c r="A36" s="32" t="s">
        <v>44</v>
      </c>
      <c r="B36" s="65"/>
      <c r="C36" s="65"/>
      <c r="D36" s="65"/>
      <c r="E36" s="66"/>
      <c r="F36" s="65"/>
      <c r="G36" s="65"/>
      <c r="H36" s="65"/>
      <c r="I36" s="65"/>
      <c r="J36" s="59"/>
      <c r="K36" s="11"/>
      <c r="L36" s="59"/>
      <c r="M36" s="59"/>
      <c r="N36" s="59"/>
    </row>
    <row r="37" spans="1:28" ht="15.9" customHeight="1" x14ac:dyDescent="0.2">
      <c r="A37" s="24" t="s">
        <v>14</v>
      </c>
      <c r="B37" s="57">
        <v>45205</v>
      </c>
      <c r="C37" s="57">
        <v>45541</v>
      </c>
      <c r="D37" s="58">
        <v>90746</v>
      </c>
      <c r="E37" s="59">
        <v>50.185132127000003</v>
      </c>
      <c r="F37" s="60"/>
      <c r="G37" s="57">
        <v>20262</v>
      </c>
      <c r="H37" s="57">
        <v>23080</v>
      </c>
      <c r="I37" s="58">
        <v>43342</v>
      </c>
      <c r="J37" s="59">
        <v>53.250888283999998</v>
      </c>
      <c r="K37" s="11"/>
      <c r="L37" s="59">
        <v>44.822475390000001</v>
      </c>
      <c r="M37" s="59">
        <v>50.679607386999997</v>
      </c>
      <c r="N37" s="59">
        <v>47.761884821000002</v>
      </c>
      <c r="P37" s="57"/>
      <c r="Q37" s="57"/>
      <c r="R37" s="58"/>
      <c r="S37" s="59"/>
      <c r="T37" s="60"/>
      <c r="U37" s="57"/>
      <c r="V37" s="57"/>
      <c r="W37" s="58"/>
      <c r="X37" s="59"/>
      <c r="Y37" s="11"/>
      <c r="Z37" s="59"/>
      <c r="AA37" s="59"/>
      <c r="AB37" s="59"/>
    </row>
    <row r="38" spans="1:28" ht="12" customHeight="1" x14ac:dyDescent="0.2">
      <c r="A38" s="24" t="s">
        <v>15</v>
      </c>
      <c r="B38" s="57">
        <v>51440</v>
      </c>
      <c r="C38" s="57">
        <v>52069</v>
      </c>
      <c r="D38" s="58">
        <v>103510</v>
      </c>
      <c r="E38" s="59">
        <v>50.303352332999999</v>
      </c>
      <c r="F38" s="60"/>
      <c r="G38" s="57">
        <v>34271</v>
      </c>
      <c r="H38" s="57">
        <v>33730</v>
      </c>
      <c r="I38" s="58">
        <v>68001</v>
      </c>
      <c r="J38" s="59">
        <v>49.601482308999998</v>
      </c>
      <c r="K38" s="11"/>
      <c r="L38" s="59">
        <v>66.623899223999999</v>
      </c>
      <c r="M38" s="59">
        <v>64.779427298000002</v>
      </c>
      <c r="N38" s="59">
        <v>65.696068013000001</v>
      </c>
      <c r="P38" s="57"/>
      <c r="Q38" s="57"/>
      <c r="R38" s="58"/>
      <c r="S38" s="59"/>
      <c r="T38" s="60"/>
      <c r="U38" s="57"/>
      <c r="V38" s="57"/>
      <c r="W38" s="58"/>
      <c r="X38" s="59"/>
      <c r="Y38" s="11"/>
      <c r="Z38" s="59"/>
      <c r="AA38" s="59"/>
      <c r="AB38" s="59"/>
    </row>
    <row r="39" spans="1:28" ht="12" customHeight="1" x14ac:dyDescent="0.2">
      <c r="A39" s="24" t="s">
        <v>16</v>
      </c>
      <c r="B39" s="57">
        <v>2571</v>
      </c>
      <c r="C39" s="57">
        <v>12177</v>
      </c>
      <c r="D39" s="58">
        <v>14747</v>
      </c>
      <c r="E39" s="59">
        <v>82.567127745999997</v>
      </c>
      <c r="F39" s="60"/>
      <c r="G39" s="57">
        <v>1536</v>
      </c>
      <c r="H39" s="57">
        <v>6187</v>
      </c>
      <c r="I39" s="58">
        <v>7723</v>
      </c>
      <c r="J39" s="59">
        <v>80.111355691</v>
      </c>
      <c r="K39" s="11"/>
      <c r="L39" s="59">
        <v>59.743290547999997</v>
      </c>
      <c r="M39" s="59">
        <v>50.808902027999999</v>
      </c>
      <c r="N39" s="59">
        <v>52.366422565999997</v>
      </c>
      <c r="P39" s="57"/>
      <c r="Q39" s="57"/>
      <c r="R39" s="58"/>
      <c r="S39" s="59"/>
      <c r="T39" s="60"/>
      <c r="U39" s="57"/>
      <c r="V39" s="57"/>
      <c r="W39" s="58"/>
      <c r="X39" s="59"/>
      <c r="Y39" s="11"/>
      <c r="Z39" s="59"/>
      <c r="AA39" s="59"/>
      <c r="AB39" s="59"/>
    </row>
    <row r="40" spans="1:28" ht="12" customHeight="1" x14ac:dyDescent="0.2">
      <c r="A40" s="24" t="s">
        <v>17</v>
      </c>
      <c r="B40" s="57">
        <v>11111</v>
      </c>
      <c r="C40" s="57">
        <v>21306</v>
      </c>
      <c r="D40" s="58">
        <v>32417</v>
      </c>
      <c r="E40" s="59">
        <v>65.724774038000007</v>
      </c>
      <c r="F40" s="60"/>
      <c r="G40" s="57">
        <v>6346</v>
      </c>
      <c r="H40" s="57">
        <v>11840</v>
      </c>
      <c r="I40" s="58">
        <v>18186</v>
      </c>
      <c r="J40" s="59">
        <v>65.105025843999996</v>
      </c>
      <c r="K40" s="11"/>
      <c r="L40" s="59">
        <v>57.114571146000003</v>
      </c>
      <c r="M40" s="59">
        <v>55.571200601000001</v>
      </c>
      <c r="N40" s="59">
        <v>56.100194342000002</v>
      </c>
      <c r="P40" s="57"/>
      <c r="Q40" s="57"/>
      <c r="R40" s="58"/>
      <c r="S40" s="59"/>
      <c r="T40" s="60"/>
      <c r="U40" s="57"/>
      <c r="V40" s="57"/>
      <c r="W40" s="58"/>
      <c r="X40" s="59"/>
      <c r="Y40" s="11"/>
      <c r="Z40" s="59"/>
      <c r="AA40" s="59"/>
      <c r="AB40" s="59"/>
    </row>
    <row r="41" spans="1:28" ht="12" customHeight="1" x14ac:dyDescent="0.2">
      <c r="A41" s="24" t="s">
        <v>45</v>
      </c>
      <c r="B41" s="57">
        <v>670</v>
      </c>
      <c r="C41" s="57">
        <v>403</v>
      </c>
      <c r="D41" s="58">
        <v>1073</v>
      </c>
      <c r="E41" s="59">
        <v>37.558247903000002</v>
      </c>
      <c r="F41" s="60"/>
      <c r="G41" s="57">
        <v>520</v>
      </c>
      <c r="H41" s="57">
        <v>299</v>
      </c>
      <c r="I41" s="58">
        <v>819</v>
      </c>
      <c r="J41" s="59">
        <v>36.507936508</v>
      </c>
      <c r="K41" s="11"/>
      <c r="L41" s="59">
        <v>77.611940298999997</v>
      </c>
      <c r="M41" s="59">
        <v>74.193548387000007</v>
      </c>
      <c r="N41" s="59">
        <v>76.328052189999994</v>
      </c>
      <c r="P41" s="57"/>
      <c r="Q41" s="57"/>
      <c r="R41" s="58"/>
      <c r="S41" s="59"/>
      <c r="T41" s="60"/>
      <c r="U41" s="57"/>
      <c r="V41" s="57"/>
      <c r="W41" s="58"/>
      <c r="X41" s="59"/>
      <c r="Y41" s="11"/>
      <c r="Z41" s="59"/>
      <c r="AA41" s="59"/>
      <c r="AB41" s="59"/>
    </row>
    <row r="42" spans="1:28" ht="20.100000000000001" customHeight="1" x14ac:dyDescent="0.2">
      <c r="A42" s="32" t="s">
        <v>46</v>
      </c>
      <c r="B42" s="72"/>
      <c r="C42" s="71"/>
      <c r="D42" s="72"/>
      <c r="E42" s="66"/>
      <c r="F42" s="65"/>
      <c r="G42" s="72"/>
      <c r="H42" s="72"/>
      <c r="I42" s="72"/>
      <c r="J42" s="66"/>
      <c r="K42" s="11"/>
      <c r="L42" s="59"/>
      <c r="M42" s="59"/>
      <c r="N42" s="59"/>
    </row>
    <row r="43" spans="1:28" ht="15.9" customHeight="1" x14ac:dyDescent="0.2">
      <c r="A43" s="24" t="s">
        <v>18</v>
      </c>
      <c r="B43" s="57">
        <v>69840</v>
      </c>
      <c r="C43" s="57">
        <v>84589</v>
      </c>
      <c r="D43" s="58">
        <v>154429</v>
      </c>
      <c r="E43" s="59">
        <v>54.775040795999999</v>
      </c>
      <c r="F43" s="60"/>
      <c r="G43" s="57">
        <v>39257</v>
      </c>
      <c r="H43" s="57">
        <v>48500</v>
      </c>
      <c r="I43" s="58">
        <v>87757</v>
      </c>
      <c r="J43" s="59">
        <v>55.266246567000003</v>
      </c>
      <c r="K43" s="11"/>
      <c r="L43" s="59">
        <v>56.209908362</v>
      </c>
      <c r="M43" s="59">
        <v>57.336738072000003</v>
      </c>
      <c r="N43" s="59">
        <v>56.827129794999998</v>
      </c>
    </row>
    <row r="44" spans="1:28" ht="12" customHeight="1" x14ac:dyDescent="0.2">
      <c r="A44" s="24" t="s">
        <v>19</v>
      </c>
      <c r="B44" s="57">
        <v>41157</v>
      </c>
      <c r="C44" s="57">
        <v>46907</v>
      </c>
      <c r="D44" s="58">
        <v>88064</v>
      </c>
      <c r="E44" s="59">
        <v>53.264671147999998</v>
      </c>
      <c r="F44" s="60"/>
      <c r="G44" s="57">
        <v>23678</v>
      </c>
      <c r="H44" s="57">
        <v>26636</v>
      </c>
      <c r="I44" s="58">
        <v>50314</v>
      </c>
      <c r="J44" s="59">
        <v>52.939539691</v>
      </c>
      <c r="K44" s="11"/>
      <c r="L44" s="59">
        <v>57.530918190999998</v>
      </c>
      <c r="M44" s="59">
        <v>56.784701644000002</v>
      </c>
      <c r="N44" s="59">
        <v>57.133448401000003</v>
      </c>
    </row>
    <row r="45" spans="1:28" ht="20.100000000000001" customHeight="1" x14ac:dyDescent="0.2">
      <c r="A45" s="32" t="s">
        <v>47</v>
      </c>
      <c r="B45" s="67"/>
      <c r="C45" s="67"/>
      <c r="D45" s="67"/>
      <c r="E45" s="59"/>
      <c r="F45" s="67"/>
      <c r="G45" s="67"/>
      <c r="H45" s="67"/>
      <c r="I45" s="67"/>
      <c r="J45" s="59"/>
      <c r="K45" s="11"/>
      <c r="L45" s="59"/>
      <c r="M45" s="59"/>
      <c r="N45" s="59"/>
    </row>
    <row r="46" spans="1:28" ht="15.9" customHeight="1" x14ac:dyDescent="0.2">
      <c r="A46" s="24" t="s">
        <v>20</v>
      </c>
      <c r="B46" s="57">
        <v>6642</v>
      </c>
      <c r="C46" s="57">
        <v>6669</v>
      </c>
      <c r="D46" s="58">
        <v>13311</v>
      </c>
      <c r="E46" s="59">
        <v>50.101419878296149</v>
      </c>
      <c r="F46" s="60"/>
      <c r="G46" s="57">
        <v>3067</v>
      </c>
      <c r="H46" s="57">
        <v>3167</v>
      </c>
      <c r="I46" s="58">
        <v>6234</v>
      </c>
      <c r="J46" s="73">
        <v>50.802053256336222</v>
      </c>
      <c r="K46" s="11"/>
      <c r="L46" s="59">
        <v>46.175850647395364</v>
      </c>
      <c r="M46" s="59">
        <v>47.488379067326434</v>
      </c>
      <c r="N46" s="59">
        <v>46.833446022086996</v>
      </c>
      <c r="P46" s="73"/>
      <c r="Q46" s="73"/>
    </row>
    <row r="47" spans="1:28" ht="12" customHeight="1" x14ac:dyDescent="0.2">
      <c r="A47" s="24" t="s">
        <v>21</v>
      </c>
      <c r="B47" s="57">
        <v>5772</v>
      </c>
      <c r="C47" s="57">
        <v>6344</v>
      </c>
      <c r="D47" s="58">
        <v>12116</v>
      </c>
      <c r="E47" s="59">
        <v>52.360515021459229</v>
      </c>
      <c r="F47" s="60"/>
      <c r="G47" s="57">
        <v>3014</v>
      </c>
      <c r="H47" s="57">
        <v>3369</v>
      </c>
      <c r="I47" s="58">
        <v>6383</v>
      </c>
      <c r="J47" s="73">
        <v>52.780824063919788</v>
      </c>
      <c r="K47" s="11"/>
      <c r="L47" s="59">
        <v>52.21760221760222</v>
      </c>
      <c r="M47" s="59">
        <v>53.105296343001264</v>
      </c>
      <c r="N47" s="59">
        <v>52.682403433476402</v>
      </c>
      <c r="P47" s="73"/>
      <c r="Q47" s="73"/>
    </row>
    <row r="48" spans="1:28" ht="12" customHeight="1" x14ac:dyDescent="0.2">
      <c r="A48" s="24" t="s">
        <v>22</v>
      </c>
      <c r="B48" s="57">
        <v>5673</v>
      </c>
      <c r="C48" s="57">
        <v>6781</v>
      </c>
      <c r="D48" s="58">
        <v>12454</v>
      </c>
      <c r="E48" s="59">
        <v>54.448370001605909</v>
      </c>
      <c r="F48" s="60"/>
      <c r="G48" s="57">
        <v>3057</v>
      </c>
      <c r="H48" s="57">
        <v>3607</v>
      </c>
      <c r="I48" s="58">
        <v>6664</v>
      </c>
      <c r="J48" s="73">
        <v>54.126650660264112</v>
      </c>
      <c r="K48" s="11"/>
      <c r="L48" s="59">
        <v>53.88683236382866</v>
      </c>
      <c r="M48" s="59">
        <v>53.192744432974493</v>
      </c>
      <c r="N48" s="59">
        <v>53.508912799100692</v>
      </c>
      <c r="P48" s="73"/>
      <c r="Q48" s="73"/>
    </row>
    <row r="49" spans="1:17" ht="12" customHeight="1" x14ac:dyDescent="0.2">
      <c r="A49" s="24" t="s">
        <v>23</v>
      </c>
      <c r="B49" s="57">
        <v>9641</v>
      </c>
      <c r="C49" s="57">
        <v>10981</v>
      </c>
      <c r="D49" s="58">
        <v>20622</v>
      </c>
      <c r="E49" s="59">
        <v>53.248957424110174</v>
      </c>
      <c r="F49" s="60"/>
      <c r="G49" s="57">
        <v>4873</v>
      </c>
      <c r="H49" s="57">
        <v>5737</v>
      </c>
      <c r="I49" s="58">
        <v>10610</v>
      </c>
      <c r="J49" s="73">
        <v>54.071630537229034</v>
      </c>
      <c r="K49" s="11"/>
      <c r="L49" s="59">
        <v>50.544549320609903</v>
      </c>
      <c r="M49" s="59">
        <v>52.244786449321559</v>
      </c>
      <c r="N49" s="59">
        <v>51.449907865386479</v>
      </c>
      <c r="P49" s="73"/>
      <c r="Q49" s="73"/>
    </row>
    <row r="50" spans="1:17" ht="15.9" customHeight="1" x14ac:dyDescent="0.2">
      <c r="A50" s="24" t="s">
        <v>24</v>
      </c>
      <c r="B50" s="57">
        <v>14212</v>
      </c>
      <c r="C50" s="57">
        <v>15964</v>
      </c>
      <c r="D50" s="58">
        <v>30176</v>
      </c>
      <c r="E50" s="59">
        <v>52.902969247083774</v>
      </c>
      <c r="F50" s="60"/>
      <c r="G50" s="57">
        <v>6767</v>
      </c>
      <c r="H50" s="57">
        <v>8113</v>
      </c>
      <c r="I50" s="58">
        <v>14880</v>
      </c>
      <c r="J50" s="73">
        <v>54.522849462365599</v>
      </c>
      <c r="K50" s="11"/>
      <c r="L50" s="59">
        <v>47.614691809738254</v>
      </c>
      <c r="M50" s="59">
        <v>50.820596341768976</v>
      </c>
      <c r="N50" s="59">
        <v>49.310710498409335</v>
      </c>
      <c r="P50" s="73"/>
      <c r="Q50" s="73"/>
    </row>
    <row r="51" spans="1:17" ht="12" customHeight="1" x14ac:dyDescent="0.2">
      <c r="A51" s="24" t="s">
        <v>25</v>
      </c>
      <c r="B51" s="57">
        <v>12502</v>
      </c>
      <c r="C51" s="57">
        <v>14015</v>
      </c>
      <c r="D51" s="58">
        <v>26517</v>
      </c>
      <c r="E51" s="59">
        <v>52.852886827318322</v>
      </c>
      <c r="F51" s="60"/>
      <c r="G51" s="57">
        <v>6018</v>
      </c>
      <c r="H51" s="57">
        <v>7279</v>
      </c>
      <c r="I51" s="58">
        <v>13297</v>
      </c>
      <c r="J51" s="73">
        <v>54.741671053621118</v>
      </c>
      <c r="K51" s="11"/>
      <c r="L51" s="59">
        <v>48.136298192289232</v>
      </c>
      <c r="M51" s="59">
        <v>51.937210132001432</v>
      </c>
      <c r="N51" s="59">
        <v>50.145189878191353</v>
      </c>
      <c r="P51" s="73"/>
      <c r="Q51" s="73"/>
    </row>
    <row r="52" spans="1:17" ht="12" customHeight="1" x14ac:dyDescent="0.2">
      <c r="A52" s="24" t="s">
        <v>26</v>
      </c>
      <c r="B52" s="57">
        <v>56389</v>
      </c>
      <c r="C52" s="57">
        <v>70195</v>
      </c>
      <c r="D52" s="58">
        <v>126584</v>
      </c>
      <c r="E52" s="59">
        <v>55.45329583517664</v>
      </c>
      <c r="F52" s="60"/>
      <c r="G52" s="57">
        <v>36035</v>
      </c>
      <c r="H52" s="57">
        <v>43631</v>
      </c>
      <c r="I52" s="58">
        <v>79666</v>
      </c>
      <c r="J52" s="73">
        <v>54.767403911329801</v>
      </c>
      <c r="K52" s="11"/>
      <c r="L52" s="59">
        <v>63.904307577719052</v>
      </c>
      <c r="M52" s="59">
        <v>62.156848778403017</v>
      </c>
      <c r="N52" s="59">
        <v>62.935284080136512</v>
      </c>
      <c r="P52" s="73"/>
      <c r="Q52" s="73"/>
    </row>
    <row r="53" spans="1:17" ht="12" customHeight="1" x14ac:dyDescent="0.2">
      <c r="A53" s="24" t="s">
        <v>27</v>
      </c>
      <c r="B53" s="57">
        <v>166</v>
      </c>
      <c r="C53" s="57">
        <v>547</v>
      </c>
      <c r="D53" s="58">
        <v>713</v>
      </c>
      <c r="E53" s="59">
        <v>76.718092566619916</v>
      </c>
      <c r="F53" s="60"/>
      <c r="G53" s="57">
        <v>104</v>
      </c>
      <c r="H53" s="57">
        <v>233</v>
      </c>
      <c r="I53" s="58">
        <v>337</v>
      </c>
      <c r="J53" s="73">
        <v>69.139465875370917</v>
      </c>
      <c r="K53" s="11"/>
      <c r="L53" s="59">
        <v>62.650602409638559</v>
      </c>
      <c r="M53" s="59">
        <v>42.595978062157222</v>
      </c>
      <c r="N53" s="59">
        <v>47.265077138849932</v>
      </c>
      <c r="P53" s="73"/>
      <c r="Q53" s="73"/>
    </row>
    <row r="54" spans="1:17" ht="20.100000000000001" customHeight="1" x14ac:dyDescent="0.2">
      <c r="A54" s="31" t="s">
        <v>6</v>
      </c>
      <c r="B54" s="65">
        <f>SUM(B46:B53)</f>
        <v>110997</v>
      </c>
      <c r="C54" s="65">
        <f>SUM(C46:C53)</f>
        <v>131496</v>
      </c>
      <c r="D54" s="65">
        <f>SUM(D46:D53)</f>
        <v>242493</v>
      </c>
      <c r="E54" s="68">
        <f>C54/D54*100</f>
        <v>54.226719946555157</v>
      </c>
      <c r="F54" s="65"/>
      <c r="G54" s="65">
        <f>SUM(G46:G53)</f>
        <v>62935</v>
      </c>
      <c r="H54" s="65">
        <f>SUM(H46:H53)</f>
        <v>75136</v>
      </c>
      <c r="I54" s="65">
        <f>SUM(I46:I53)</f>
        <v>138071</v>
      </c>
      <c r="J54" s="68">
        <f>H54/I54*100</f>
        <v>54.418378949960534</v>
      </c>
      <c r="K54" s="69"/>
      <c r="L54" s="62">
        <v>56.699730623350177</v>
      </c>
      <c r="M54" s="62">
        <v>57.139380665571572</v>
      </c>
      <c r="N54" s="62">
        <v>56.938138420490489</v>
      </c>
    </row>
    <row r="55" spans="1:17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7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7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7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60</v>
      </c>
    </row>
    <row r="59" spans="1:17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0930-4F69-439A-8B88-A4211970253F}">
  <dimension ref="A1:N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" customHeight="1" x14ac:dyDescent="0.3">
      <c r="A5" s="15" t="s">
        <v>57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56</v>
      </c>
      <c r="F11" s="11"/>
      <c r="G11" s="11" t="s">
        <v>2</v>
      </c>
      <c r="H11" s="11"/>
      <c r="I11" s="11" t="s">
        <v>2</v>
      </c>
      <c r="J11" s="27" t="s">
        <v>56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57">
        <v>4286</v>
      </c>
      <c r="C16" s="57">
        <v>4127</v>
      </c>
      <c r="D16" s="58">
        <v>8413</v>
      </c>
      <c r="E16" s="59">
        <v>49.055033876000003</v>
      </c>
      <c r="F16" s="60"/>
      <c r="G16" s="57">
        <v>1784</v>
      </c>
      <c r="H16" s="57">
        <v>2075</v>
      </c>
      <c r="I16" s="58">
        <v>3859</v>
      </c>
      <c r="J16" s="59">
        <v>53.770406841000003</v>
      </c>
      <c r="K16" s="11"/>
      <c r="L16" s="59">
        <v>41.623891741000001</v>
      </c>
      <c r="M16" s="59">
        <v>50.278652774000001</v>
      </c>
      <c r="N16" s="59">
        <v>45.869487698</v>
      </c>
    </row>
    <row r="17" spans="1:14" ht="12" customHeight="1" x14ac:dyDescent="0.2">
      <c r="A17" s="24" t="s">
        <v>24</v>
      </c>
      <c r="B17" s="57">
        <v>10936</v>
      </c>
      <c r="C17" s="57">
        <v>10882</v>
      </c>
      <c r="D17" s="58">
        <v>21818</v>
      </c>
      <c r="E17" s="59">
        <v>49.876248969000002</v>
      </c>
      <c r="F17" s="60"/>
      <c r="G17" s="57">
        <v>4077</v>
      </c>
      <c r="H17" s="57">
        <v>5169</v>
      </c>
      <c r="I17" s="58">
        <v>9246</v>
      </c>
      <c r="J17" s="59">
        <v>55.905256326999996</v>
      </c>
      <c r="K17" s="11"/>
      <c r="L17" s="59">
        <v>37.280541331000002</v>
      </c>
      <c r="M17" s="59">
        <v>47.500459474000003</v>
      </c>
      <c r="N17" s="59">
        <v>42.377853149000003</v>
      </c>
    </row>
    <row r="18" spans="1:14" ht="12" customHeight="1" x14ac:dyDescent="0.2">
      <c r="A18" s="24" t="s">
        <v>25</v>
      </c>
      <c r="B18" s="57">
        <v>10407</v>
      </c>
      <c r="C18" s="57">
        <v>10594</v>
      </c>
      <c r="D18" s="58">
        <v>21001</v>
      </c>
      <c r="E18" s="59">
        <v>50.445216893999998</v>
      </c>
      <c r="F18" s="60"/>
      <c r="G18" s="57">
        <v>3977</v>
      </c>
      <c r="H18" s="57">
        <v>4885</v>
      </c>
      <c r="I18" s="58">
        <v>8862</v>
      </c>
      <c r="J18" s="59">
        <v>55.122997066000003</v>
      </c>
      <c r="K18" s="11"/>
      <c r="L18" s="59">
        <v>38.214663207000001</v>
      </c>
      <c r="M18" s="59">
        <v>46.111006230000001</v>
      </c>
      <c r="N18" s="59">
        <v>42.197990572000002</v>
      </c>
    </row>
    <row r="19" spans="1:14" ht="12" customHeight="1" x14ac:dyDescent="0.2">
      <c r="A19" s="24" t="s">
        <v>30</v>
      </c>
      <c r="B19" s="57">
        <v>9490</v>
      </c>
      <c r="C19" s="57">
        <v>9977</v>
      </c>
      <c r="D19" s="58">
        <v>19467</v>
      </c>
      <c r="E19" s="59">
        <v>51.250834746000002</v>
      </c>
      <c r="F19" s="60"/>
      <c r="G19" s="57">
        <v>3807</v>
      </c>
      <c r="H19" s="57">
        <v>4494</v>
      </c>
      <c r="I19" s="58">
        <v>8301</v>
      </c>
      <c r="J19" s="59">
        <v>54.138055655999999</v>
      </c>
      <c r="K19" s="11"/>
      <c r="L19" s="59">
        <v>40.115911486000002</v>
      </c>
      <c r="M19" s="59">
        <v>45.043600281000003</v>
      </c>
      <c r="N19" s="59">
        <v>42.641393127000001</v>
      </c>
    </row>
    <row r="20" spans="1:14" ht="12" customHeight="1" x14ac:dyDescent="0.2">
      <c r="A20" s="24" t="s">
        <v>31</v>
      </c>
      <c r="B20" s="57">
        <v>8442</v>
      </c>
      <c r="C20" s="57">
        <v>9446</v>
      </c>
      <c r="D20" s="58">
        <v>17888</v>
      </c>
      <c r="E20" s="59">
        <v>52.806350625999997</v>
      </c>
      <c r="F20" s="60"/>
      <c r="G20" s="57">
        <v>3560</v>
      </c>
      <c r="H20" s="57">
        <v>4250</v>
      </c>
      <c r="I20" s="58">
        <v>7810</v>
      </c>
      <c r="J20" s="59">
        <v>54.417413572000001</v>
      </c>
      <c r="K20" s="11"/>
      <c r="L20" s="59">
        <v>42.170101871999996</v>
      </c>
      <c r="M20" s="59">
        <v>44.992589455999997</v>
      </c>
      <c r="N20" s="59">
        <v>43.660554562000002</v>
      </c>
    </row>
    <row r="21" spans="1:14" ht="15.9" customHeight="1" x14ac:dyDescent="0.2">
      <c r="A21" s="24" t="s">
        <v>32</v>
      </c>
      <c r="B21" s="57">
        <v>9113</v>
      </c>
      <c r="C21" s="57">
        <v>10516</v>
      </c>
      <c r="D21" s="58">
        <v>19629</v>
      </c>
      <c r="E21" s="59">
        <v>53.573793876000003</v>
      </c>
      <c r="F21" s="60"/>
      <c r="G21" s="57">
        <v>4151</v>
      </c>
      <c r="H21" s="57">
        <v>4907</v>
      </c>
      <c r="I21" s="58">
        <v>9058</v>
      </c>
      <c r="J21" s="59">
        <v>54.173106646000001</v>
      </c>
      <c r="K21" s="11"/>
      <c r="L21" s="59">
        <v>45.550312740000003</v>
      </c>
      <c r="M21" s="59">
        <v>46.662228984000002</v>
      </c>
      <c r="N21" s="59">
        <v>46.146008457000001</v>
      </c>
    </row>
    <row r="22" spans="1:14" ht="12" customHeight="1" x14ac:dyDescent="0.2">
      <c r="A22" s="24" t="s">
        <v>33</v>
      </c>
      <c r="B22" s="57">
        <v>10343</v>
      </c>
      <c r="C22" s="57">
        <v>11981</v>
      </c>
      <c r="D22" s="58">
        <v>22324</v>
      </c>
      <c r="E22" s="59">
        <v>53.668697366000004</v>
      </c>
      <c r="F22" s="60"/>
      <c r="G22" s="57">
        <v>5069</v>
      </c>
      <c r="H22" s="57">
        <v>6002</v>
      </c>
      <c r="I22" s="58">
        <v>11071</v>
      </c>
      <c r="J22" s="59">
        <v>54.213711498999999</v>
      </c>
      <c r="K22" s="11"/>
      <c r="L22" s="59">
        <v>49.008991588999997</v>
      </c>
      <c r="M22" s="59">
        <v>50.095985310000003</v>
      </c>
      <c r="N22" s="59">
        <v>49.592366959000003</v>
      </c>
    </row>
    <row r="23" spans="1:14" ht="12" customHeight="1" x14ac:dyDescent="0.2">
      <c r="A23" s="24" t="s">
        <v>34</v>
      </c>
      <c r="B23" s="57">
        <v>10973</v>
      </c>
      <c r="C23" s="57">
        <v>12683</v>
      </c>
      <c r="D23" s="58">
        <v>23656</v>
      </c>
      <c r="E23" s="59">
        <v>53.614305039000001</v>
      </c>
      <c r="F23" s="60"/>
      <c r="G23" s="57">
        <v>5730</v>
      </c>
      <c r="H23" s="57">
        <v>6802</v>
      </c>
      <c r="I23" s="58">
        <v>12532</v>
      </c>
      <c r="J23" s="59">
        <v>54.277050750000001</v>
      </c>
      <c r="K23" s="11"/>
      <c r="L23" s="59">
        <v>52.219083204</v>
      </c>
      <c r="M23" s="59">
        <v>53.630844437</v>
      </c>
      <c r="N23" s="59">
        <v>52.975989177999999</v>
      </c>
    </row>
    <row r="24" spans="1:14" ht="12" customHeight="1" x14ac:dyDescent="0.2">
      <c r="A24" s="24" t="s">
        <v>35</v>
      </c>
      <c r="B24" s="57">
        <v>11656</v>
      </c>
      <c r="C24" s="57">
        <v>13693</v>
      </c>
      <c r="D24" s="58">
        <v>25349</v>
      </c>
      <c r="E24" s="59">
        <v>54.017909977000002</v>
      </c>
      <c r="F24" s="60"/>
      <c r="G24" s="57">
        <v>6504</v>
      </c>
      <c r="H24" s="57">
        <v>7456</v>
      </c>
      <c r="I24" s="58">
        <v>13960</v>
      </c>
      <c r="J24" s="59">
        <v>53.409742119999997</v>
      </c>
      <c r="K24" s="11"/>
      <c r="L24" s="59">
        <v>55.799588194999998</v>
      </c>
      <c r="M24" s="59">
        <v>54.451179435</v>
      </c>
      <c r="N24" s="59">
        <v>55.071205964999997</v>
      </c>
    </row>
    <row r="25" spans="1:14" ht="12" customHeight="1" x14ac:dyDescent="0.2">
      <c r="A25" s="24" t="s">
        <v>36</v>
      </c>
      <c r="B25" s="57">
        <v>9785</v>
      </c>
      <c r="C25" s="57">
        <v>11353</v>
      </c>
      <c r="D25" s="58">
        <v>21138</v>
      </c>
      <c r="E25" s="59">
        <v>53.708960167000001</v>
      </c>
      <c r="F25" s="60"/>
      <c r="G25" s="57">
        <v>5710</v>
      </c>
      <c r="H25" s="57">
        <v>6433</v>
      </c>
      <c r="I25" s="58">
        <v>12143</v>
      </c>
      <c r="J25" s="59">
        <v>52.977023799999998</v>
      </c>
      <c r="K25" s="11"/>
      <c r="L25" s="59">
        <v>58.354624424999997</v>
      </c>
      <c r="M25" s="59">
        <v>56.663436977000003</v>
      </c>
      <c r="N25" s="59">
        <v>57.446305232</v>
      </c>
    </row>
    <row r="26" spans="1:14" ht="15.9" customHeight="1" x14ac:dyDescent="0.2">
      <c r="A26" s="24" t="s">
        <v>37</v>
      </c>
      <c r="B26" s="57">
        <v>7826</v>
      </c>
      <c r="C26" s="57">
        <v>9935</v>
      </c>
      <c r="D26" s="58">
        <v>17761</v>
      </c>
      <c r="E26" s="59">
        <v>55.937165700000001</v>
      </c>
      <c r="F26" s="60"/>
      <c r="G26" s="57">
        <v>4786</v>
      </c>
      <c r="H26" s="57">
        <v>5941</v>
      </c>
      <c r="I26" s="58">
        <v>10727</v>
      </c>
      <c r="J26" s="59">
        <v>55.383611448000003</v>
      </c>
      <c r="K26" s="11"/>
      <c r="L26" s="59">
        <v>61.155123946000003</v>
      </c>
      <c r="M26" s="59">
        <v>59.798691495</v>
      </c>
      <c r="N26" s="59">
        <v>60.396374078000001</v>
      </c>
    </row>
    <row r="27" spans="1:14" ht="12" customHeight="1" x14ac:dyDescent="0.2">
      <c r="A27" s="24" t="s">
        <v>38</v>
      </c>
      <c r="B27" s="57">
        <v>6874</v>
      </c>
      <c r="C27" s="57">
        <v>9579</v>
      </c>
      <c r="D27" s="58">
        <v>16453</v>
      </c>
      <c r="E27" s="59">
        <v>58.22038534</v>
      </c>
      <c r="F27" s="60"/>
      <c r="G27" s="57">
        <v>4432</v>
      </c>
      <c r="H27" s="57">
        <v>5915</v>
      </c>
      <c r="I27" s="58">
        <v>10347</v>
      </c>
      <c r="J27" s="59">
        <v>57.166328403999998</v>
      </c>
      <c r="K27" s="11"/>
      <c r="L27" s="59">
        <v>64.474832703000004</v>
      </c>
      <c r="M27" s="59">
        <v>61.749660716000001</v>
      </c>
      <c r="N27" s="59">
        <v>62.888227071000003</v>
      </c>
    </row>
    <row r="28" spans="1:14" ht="12" customHeight="1" x14ac:dyDescent="0.2">
      <c r="A28" s="24" t="s">
        <v>39</v>
      </c>
      <c r="B28" s="57">
        <v>6324</v>
      </c>
      <c r="C28" s="57">
        <v>9004</v>
      </c>
      <c r="D28" s="58">
        <v>15328</v>
      </c>
      <c r="E28" s="59">
        <v>58.742171190000001</v>
      </c>
      <c r="F28" s="60"/>
      <c r="G28" s="57">
        <v>4328</v>
      </c>
      <c r="H28" s="57">
        <v>5659</v>
      </c>
      <c r="I28" s="58">
        <v>9987</v>
      </c>
      <c r="J28" s="59">
        <v>56.663662762000001</v>
      </c>
      <c r="K28" s="11"/>
      <c r="L28" s="59">
        <v>68.437697659999998</v>
      </c>
      <c r="M28" s="59">
        <v>62.849844513999997</v>
      </c>
      <c r="N28" s="59">
        <v>65.155271399</v>
      </c>
    </row>
    <row r="29" spans="1:14" ht="12" customHeight="1" x14ac:dyDescent="0.2">
      <c r="A29" s="24" t="s">
        <v>40</v>
      </c>
      <c r="B29" s="57">
        <v>4006</v>
      </c>
      <c r="C29" s="57">
        <v>6101</v>
      </c>
      <c r="D29" s="58">
        <v>10107</v>
      </c>
      <c r="E29" s="59">
        <v>60.364104085999998</v>
      </c>
      <c r="F29" s="60"/>
      <c r="G29" s="57">
        <v>2653</v>
      </c>
      <c r="H29" s="57">
        <v>3494</v>
      </c>
      <c r="I29" s="58">
        <v>6147</v>
      </c>
      <c r="J29" s="59">
        <v>56.840735318</v>
      </c>
      <c r="K29" s="11"/>
      <c r="L29" s="59">
        <v>66.225661508000002</v>
      </c>
      <c r="M29" s="59">
        <v>57.269300115</v>
      </c>
      <c r="N29" s="59">
        <v>60.819234194000003</v>
      </c>
    </row>
    <row r="30" spans="1:14" ht="12" customHeight="1" x14ac:dyDescent="0.2">
      <c r="A30" s="24" t="s">
        <v>41</v>
      </c>
      <c r="B30" s="57">
        <v>2567</v>
      </c>
      <c r="C30" s="57">
        <v>4260</v>
      </c>
      <c r="D30" s="58">
        <v>6827</v>
      </c>
      <c r="E30" s="59">
        <v>62.399296909</v>
      </c>
      <c r="F30" s="60"/>
      <c r="G30" s="57">
        <v>1563</v>
      </c>
      <c r="H30" s="57">
        <v>2034</v>
      </c>
      <c r="I30" s="58">
        <v>3597</v>
      </c>
      <c r="J30" s="59">
        <v>56.547122602000002</v>
      </c>
      <c r="K30" s="11"/>
      <c r="L30" s="59">
        <v>60.888196338</v>
      </c>
      <c r="M30" s="59">
        <v>47.746478873000001</v>
      </c>
      <c r="N30" s="59">
        <v>52.687857037999997</v>
      </c>
    </row>
    <row r="31" spans="1:14" ht="12" customHeight="1" x14ac:dyDescent="0.2">
      <c r="A31" s="24" t="s">
        <v>10</v>
      </c>
      <c r="B31" s="57">
        <v>1326</v>
      </c>
      <c r="C31" s="57">
        <v>3445</v>
      </c>
      <c r="D31" s="58">
        <v>4771</v>
      </c>
      <c r="E31" s="59">
        <v>72.207084468999994</v>
      </c>
      <c r="F31" s="60"/>
      <c r="G31" s="57">
        <v>682</v>
      </c>
      <c r="H31" s="57">
        <v>1160</v>
      </c>
      <c r="I31" s="58">
        <v>1842</v>
      </c>
      <c r="J31" s="59">
        <v>62.975027144000002</v>
      </c>
      <c r="K31" s="11"/>
      <c r="L31" s="59">
        <v>51.432880845</v>
      </c>
      <c r="M31" s="59">
        <v>33.671988388999999</v>
      </c>
      <c r="N31" s="59">
        <v>38.608258227</v>
      </c>
    </row>
    <row r="32" spans="1:14" s="30" customFormat="1" ht="20.100000000000001" customHeight="1" x14ac:dyDescent="0.2">
      <c r="A32" s="31" t="s">
        <v>6</v>
      </c>
      <c r="B32" s="61">
        <v>124354</v>
      </c>
      <c r="C32" s="61">
        <v>147576</v>
      </c>
      <c r="D32" s="61">
        <v>271930</v>
      </c>
      <c r="E32" s="62">
        <v>54.269848858000003</v>
      </c>
      <c r="F32" s="63"/>
      <c r="G32" s="61">
        <v>62813</v>
      </c>
      <c r="H32" s="61">
        <v>76676</v>
      </c>
      <c r="I32" s="61">
        <v>139489</v>
      </c>
      <c r="J32" s="62">
        <v>54.969209042000003</v>
      </c>
      <c r="K32" s="64"/>
      <c r="L32" s="62">
        <v>50.511443137999997</v>
      </c>
      <c r="M32" s="62">
        <v>51.956957770999999</v>
      </c>
      <c r="N32" s="62">
        <v>51.295921745000001</v>
      </c>
    </row>
    <row r="33" spans="1:14" ht="15.9" customHeight="1" x14ac:dyDescent="0.2">
      <c r="A33" s="24" t="s">
        <v>11</v>
      </c>
      <c r="B33" s="57">
        <v>43561</v>
      </c>
      <c r="C33" s="57">
        <v>45026</v>
      </c>
      <c r="D33" s="58">
        <v>88587</v>
      </c>
      <c r="E33" s="59">
        <v>50.826870759999998</v>
      </c>
      <c r="F33" s="60"/>
      <c r="G33" s="57">
        <v>17205</v>
      </c>
      <c r="H33" s="57">
        <v>20873</v>
      </c>
      <c r="I33" s="58">
        <v>38078</v>
      </c>
      <c r="J33" s="59">
        <v>54.816429434</v>
      </c>
      <c r="K33" s="11"/>
      <c r="L33" s="59">
        <v>39.496338467999998</v>
      </c>
      <c r="M33" s="59">
        <v>46.357660019000001</v>
      </c>
      <c r="N33" s="59">
        <v>42.983733504999996</v>
      </c>
    </row>
    <row r="34" spans="1:14" ht="12" customHeight="1" x14ac:dyDescent="0.2">
      <c r="A34" s="24" t="s">
        <v>12</v>
      </c>
      <c r="B34" s="57">
        <v>51870</v>
      </c>
      <c r="C34" s="57">
        <v>60226</v>
      </c>
      <c r="D34" s="58">
        <v>112096</v>
      </c>
      <c r="E34" s="59">
        <v>53.727162432</v>
      </c>
      <c r="F34" s="60"/>
      <c r="G34" s="57">
        <v>27164</v>
      </c>
      <c r="H34" s="57">
        <v>31600</v>
      </c>
      <c r="I34" s="58">
        <v>58764</v>
      </c>
      <c r="J34" s="59">
        <v>53.774419713</v>
      </c>
      <c r="K34" s="11"/>
      <c r="L34" s="59">
        <v>52.369385000999998</v>
      </c>
      <c r="M34" s="59">
        <v>52.469033308</v>
      </c>
      <c r="N34" s="59">
        <v>52.422923208999997</v>
      </c>
    </row>
    <row r="35" spans="1:14" ht="12" customHeight="1" x14ac:dyDescent="0.2">
      <c r="A35" s="24" t="s">
        <v>13</v>
      </c>
      <c r="B35" s="57">
        <v>28923</v>
      </c>
      <c r="C35" s="57">
        <v>42324</v>
      </c>
      <c r="D35" s="58">
        <v>71247</v>
      </c>
      <c r="E35" s="59">
        <v>59.404606510000001</v>
      </c>
      <c r="F35" s="60"/>
      <c r="G35" s="57">
        <v>18444</v>
      </c>
      <c r="H35" s="57">
        <v>24203</v>
      </c>
      <c r="I35" s="58">
        <v>42647</v>
      </c>
      <c r="J35" s="59">
        <v>56.751940347999998</v>
      </c>
      <c r="K35" s="11"/>
      <c r="L35" s="59">
        <v>63.769318534999996</v>
      </c>
      <c r="M35" s="59">
        <v>57.185048672000001</v>
      </c>
      <c r="N35" s="59">
        <v>59.857958932000003</v>
      </c>
    </row>
    <row r="36" spans="1:14" ht="20.100000000000001" customHeight="1" x14ac:dyDescent="0.2">
      <c r="A36" s="32" t="s">
        <v>44</v>
      </c>
      <c r="B36" s="65"/>
      <c r="C36" s="65"/>
      <c r="D36" s="65"/>
      <c r="E36" s="66"/>
      <c r="F36" s="65"/>
      <c r="G36" s="65"/>
      <c r="H36" s="65"/>
      <c r="I36" s="65"/>
      <c r="J36" s="59"/>
      <c r="K36" s="11"/>
      <c r="L36" s="59"/>
      <c r="M36" s="59"/>
      <c r="N36" s="59"/>
    </row>
    <row r="37" spans="1:14" ht="15.9" customHeight="1" x14ac:dyDescent="0.2">
      <c r="A37" s="24" t="s">
        <v>14</v>
      </c>
      <c r="B37" s="57">
        <v>44683</v>
      </c>
      <c r="C37" s="57">
        <v>45182</v>
      </c>
      <c r="D37" s="58">
        <v>89865</v>
      </c>
      <c r="E37" s="59">
        <v>50.277638680000003</v>
      </c>
      <c r="F37" s="60"/>
      <c r="G37" s="57">
        <v>19311</v>
      </c>
      <c r="H37" s="57">
        <v>23350</v>
      </c>
      <c r="I37" s="58">
        <v>42661</v>
      </c>
      <c r="J37" s="59">
        <v>54.733831836999997</v>
      </c>
      <c r="K37" s="11"/>
      <c r="L37" s="59">
        <v>43.217778574</v>
      </c>
      <c r="M37" s="59">
        <v>51.679872516000003</v>
      </c>
      <c r="N37" s="59">
        <v>47.472319589999998</v>
      </c>
    </row>
    <row r="38" spans="1:14" ht="12" customHeight="1" x14ac:dyDescent="0.2">
      <c r="A38" s="24" t="s">
        <v>15</v>
      </c>
      <c r="B38" s="57">
        <v>51468</v>
      </c>
      <c r="C38" s="57">
        <v>52095</v>
      </c>
      <c r="D38" s="58">
        <v>103563</v>
      </c>
      <c r="E38" s="59">
        <v>50.302714289999997</v>
      </c>
      <c r="F38" s="60"/>
      <c r="G38" s="57">
        <v>31663</v>
      </c>
      <c r="H38" s="57">
        <v>31483</v>
      </c>
      <c r="I38" s="58">
        <v>63146</v>
      </c>
      <c r="J38" s="59">
        <v>49.857473157000001</v>
      </c>
      <c r="K38" s="11"/>
      <c r="L38" s="59">
        <v>61.519779280000002</v>
      </c>
      <c r="M38" s="59">
        <v>60.433822824000003</v>
      </c>
      <c r="N38" s="59">
        <v>60.973513707000002</v>
      </c>
    </row>
    <row r="39" spans="1:14" ht="12" customHeight="1" x14ac:dyDescent="0.2">
      <c r="A39" s="24" t="s">
        <v>16</v>
      </c>
      <c r="B39" s="57">
        <v>2581</v>
      </c>
      <c r="C39" s="57">
        <v>12195</v>
      </c>
      <c r="D39" s="58">
        <v>14776</v>
      </c>
      <c r="E39" s="59">
        <v>82.532485111</v>
      </c>
      <c r="F39" s="60"/>
      <c r="G39" s="57">
        <v>1534</v>
      </c>
      <c r="H39" s="57">
        <v>5945</v>
      </c>
      <c r="I39" s="58">
        <v>7479</v>
      </c>
      <c r="J39" s="59">
        <v>79.489236528999996</v>
      </c>
      <c r="K39" s="11"/>
      <c r="L39" s="59">
        <v>59.434327779999997</v>
      </c>
      <c r="M39" s="59">
        <v>48.749487494999997</v>
      </c>
      <c r="N39" s="59">
        <v>50.615863562999998</v>
      </c>
    </row>
    <row r="40" spans="1:14" ht="12" customHeight="1" x14ac:dyDescent="0.2">
      <c r="A40" s="24" t="s">
        <v>17</v>
      </c>
      <c r="B40" s="57">
        <v>11069</v>
      </c>
      <c r="C40" s="57">
        <v>21290</v>
      </c>
      <c r="D40" s="58">
        <v>32359</v>
      </c>
      <c r="E40" s="59">
        <v>65.793133286</v>
      </c>
      <c r="F40" s="60"/>
      <c r="G40" s="57">
        <v>5646</v>
      </c>
      <c r="H40" s="57">
        <v>10468</v>
      </c>
      <c r="I40" s="58">
        <v>16114</v>
      </c>
      <c r="J40" s="59">
        <v>64.962144718999994</v>
      </c>
      <c r="K40" s="11"/>
      <c r="L40" s="59">
        <v>51.007317733999997</v>
      </c>
      <c r="M40" s="59">
        <v>49.168623767</v>
      </c>
      <c r="N40" s="59">
        <v>49.797583361999997</v>
      </c>
    </row>
    <row r="41" spans="1:14" ht="12" customHeight="1" x14ac:dyDescent="0.2">
      <c r="A41" s="24" t="s">
        <v>45</v>
      </c>
      <c r="B41" s="57">
        <v>665</v>
      </c>
      <c r="C41" s="57">
        <v>398</v>
      </c>
      <c r="D41" s="58">
        <v>1063</v>
      </c>
      <c r="E41" s="59">
        <v>37.441204139</v>
      </c>
      <c r="F41" s="60"/>
      <c r="G41" s="57">
        <v>572</v>
      </c>
      <c r="H41" s="57">
        <v>338</v>
      </c>
      <c r="I41" s="58">
        <v>910</v>
      </c>
      <c r="J41" s="59">
        <v>37.142857143000001</v>
      </c>
      <c r="K41" s="11"/>
      <c r="L41" s="59">
        <v>86.015037594000006</v>
      </c>
      <c r="M41" s="59">
        <v>84.924623116000006</v>
      </c>
      <c r="N41" s="59">
        <v>85.606773282999995</v>
      </c>
    </row>
    <row r="42" spans="1:14" ht="20.100000000000001" customHeight="1" x14ac:dyDescent="0.2">
      <c r="A42" s="32" t="s">
        <v>46</v>
      </c>
      <c r="B42" s="65"/>
      <c r="C42" s="65"/>
      <c r="D42" s="65"/>
      <c r="E42" s="66"/>
      <c r="F42" s="65"/>
      <c r="G42" s="65"/>
      <c r="H42" s="65"/>
      <c r="I42" s="65"/>
      <c r="J42" s="66"/>
      <c r="K42" s="11"/>
      <c r="L42" s="59"/>
      <c r="M42" s="59"/>
      <c r="N42" s="59"/>
    </row>
    <row r="43" spans="1:14" ht="15.9" customHeight="1" x14ac:dyDescent="0.2">
      <c r="A43" s="24" t="s">
        <v>18</v>
      </c>
      <c r="B43" s="57">
        <v>69478</v>
      </c>
      <c r="C43" s="57">
        <v>84341</v>
      </c>
      <c r="D43" s="58">
        <v>153819</v>
      </c>
      <c r="E43" s="59">
        <v>54.831327729000002</v>
      </c>
      <c r="F43" s="60"/>
      <c r="G43" s="57">
        <v>36670</v>
      </c>
      <c r="H43" s="57">
        <v>46258</v>
      </c>
      <c r="I43" s="58">
        <v>82928</v>
      </c>
      <c r="J43" s="59">
        <v>55.780918387</v>
      </c>
      <c r="K43" s="11"/>
      <c r="L43" s="59">
        <v>52.779297044000003</v>
      </c>
      <c r="M43" s="59">
        <v>54.846397363000001</v>
      </c>
      <c r="N43" s="59">
        <v>53.912715593999998</v>
      </c>
    </row>
    <row r="44" spans="1:14" ht="12" customHeight="1" x14ac:dyDescent="0.2">
      <c r="A44" s="24" t="s">
        <v>19</v>
      </c>
      <c r="B44" s="57">
        <v>40988</v>
      </c>
      <c r="C44" s="57">
        <v>46819</v>
      </c>
      <c r="D44" s="58">
        <v>87807</v>
      </c>
      <c r="E44" s="59">
        <v>53.320350314000002</v>
      </c>
      <c r="F44" s="60"/>
      <c r="G44" s="57">
        <v>22056</v>
      </c>
      <c r="H44" s="57">
        <v>25326</v>
      </c>
      <c r="I44" s="58">
        <v>47382</v>
      </c>
      <c r="J44" s="59">
        <v>53.450677472000002</v>
      </c>
      <c r="K44" s="11"/>
      <c r="L44" s="59">
        <v>53.810871474999999</v>
      </c>
      <c r="M44" s="59">
        <v>54.093423610000002</v>
      </c>
      <c r="N44" s="59">
        <v>53.961529263000003</v>
      </c>
    </row>
    <row r="45" spans="1:14" ht="20.100000000000001" customHeight="1" x14ac:dyDescent="0.2">
      <c r="A45" s="32" t="s">
        <v>47</v>
      </c>
      <c r="B45" s="67"/>
      <c r="C45" s="67"/>
      <c r="D45" s="60"/>
      <c r="E45" s="59"/>
      <c r="F45" s="67"/>
      <c r="G45" s="67"/>
      <c r="H45" s="67"/>
      <c r="I45" s="60"/>
      <c r="J45" s="59"/>
      <c r="K45" s="11"/>
      <c r="L45" s="59"/>
      <c r="M45" s="59"/>
      <c r="N45" s="59"/>
    </row>
    <row r="46" spans="1:14" ht="15.9" customHeight="1" x14ac:dyDescent="0.2">
      <c r="A46" s="24" t="s">
        <v>20</v>
      </c>
      <c r="B46" s="57">
        <v>6414</v>
      </c>
      <c r="C46" s="57">
        <v>6462</v>
      </c>
      <c r="D46" s="58">
        <v>12876</v>
      </c>
      <c r="E46" s="59">
        <v>50.186393289999998</v>
      </c>
      <c r="F46" s="60"/>
      <c r="G46" s="57">
        <v>2958</v>
      </c>
      <c r="H46" s="57">
        <v>3165</v>
      </c>
      <c r="I46" s="58">
        <v>6123</v>
      </c>
      <c r="J46" s="59">
        <v>51.690347869</v>
      </c>
      <c r="K46" s="11"/>
      <c r="L46" s="59">
        <v>46.117867166000003</v>
      </c>
      <c r="M46" s="59">
        <v>48.978644383000002</v>
      </c>
      <c r="N46" s="59">
        <v>47.553588071</v>
      </c>
    </row>
    <row r="47" spans="1:14" ht="12" customHeight="1" x14ac:dyDescent="0.2">
      <c r="A47" s="24" t="s">
        <v>21</v>
      </c>
      <c r="B47" s="57">
        <v>5784</v>
      </c>
      <c r="C47" s="57">
        <v>6354</v>
      </c>
      <c r="D47" s="58">
        <v>12138</v>
      </c>
      <c r="E47" s="59">
        <v>52.347998023000002</v>
      </c>
      <c r="F47" s="60"/>
      <c r="G47" s="57">
        <v>2924</v>
      </c>
      <c r="H47" s="57">
        <v>3266</v>
      </c>
      <c r="I47" s="58">
        <v>6190</v>
      </c>
      <c r="J47" s="59">
        <v>52.762520193999997</v>
      </c>
      <c r="K47" s="11"/>
      <c r="L47" s="59">
        <v>50.553250345999999</v>
      </c>
      <c r="M47" s="59">
        <v>51.400692477</v>
      </c>
      <c r="N47" s="59">
        <v>50.996869336000003</v>
      </c>
    </row>
    <row r="48" spans="1:14" ht="12" customHeight="1" x14ac:dyDescent="0.2">
      <c r="A48" s="24" t="s">
        <v>22</v>
      </c>
      <c r="B48" s="57">
        <v>5657</v>
      </c>
      <c r="C48" s="57">
        <v>6758</v>
      </c>
      <c r="D48" s="58">
        <v>12415</v>
      </c>
      <c r="E48" s="59">
        <v>54.434152234999999</v>
      </c>
      <c r="F48" s="60"/>
      <c r="G48" s="57">
        <v>2940</v>
      </c>
      <c r="H48" s="57">
        <v>3548</v>
      </c>
      <c r="I48" s="58">
        <v>6488</v>
      </c>
      <c r="J48" s="59">
        <v>54.685573366</v>
      </c>
      <c r="K48" s="11"/>
      <c r="L48" s="59">
        <v>51.971009369000001</v>
      </c>
      <c r="M48" s="59">
        <v>52.500739864000003</v>
      </c>
      <c r="N48" s="59">
        <v>52.259363673000003</v>
      </c>
    </row>
    <row r="49" spans="1:14" ht="12" customHeight="1" x14ac:dyDescent="0.2">
      <c r="A49" s="24" t="s">
        <v>23</v>
      </c>
      <c r="B49" s="57">
        <v>9402</v>
      </c>
      <c r="C49" s="57">
        <v>10737</v>
      </c>
      <c r="D49" s="58">
        <v>20139</v>
      </c>
      <c r="E49" s="59">
        <v>53.314464471999997</v>
      </c>
      <c r="F49" s="60"/>
      <c r="G49" s="57">
        <v>4693</v>
      </c>
      <c r="H49" s="57">
        <v>5739</v>
      </c>
      <c r="I49" s="58">
        <v>10432</v>
      </c>
      <c r="J49" s="59">
        <v>55.013420244999999</v>
      </c>
      <c r="K49" s="11"/>
      <c r="L49" s="59">
        <v>49.914911721000003</v>
      </c>
      <c r="M49" s="59">
        <v>53.450684549000002</v>
      </c>
      <c r="N49" s="59">
        <v>51.799990069000003</v>
      </c>
    </row>
    <row r="50" spans="1:14" ht="15.9" customHeight="1" x14ac:dyDescent="0.2">
      <c r="A50" s="24" t="s">
        <v>24</v>
      </c>
      <c r="B50" s="57">
        <v>14223</v>
      </c>
      <c r="C50" s="57">
        <v>16003</v>
      </c>
      <c r="D50" s="58">
        <v>30226</v>
      </c>
      <c r="E50" s="59">
        <v>52.944484881000001</v>
      </c>
      <c r="F50" s="60"/>
      <c r="G50" s="57">
        <v>6549</v>
      </c>
      <c r="H50" s="57">
        <v>8336</v>
      </c>
      <c r="I50" s="58">
        <v>14885</v>
      </c>
      <c r="J50" s="59">
        <v>56.002687268999999</v>
      </c>
      <c r="K50" s="11"/>
      <c r="L50" s="59">
        <v>46.045138156999997</v>
      </c>
      <c r="M50" s="59">
        <v>52.090233081000001</v>
      </c>
      <c r="N50" s="59">
        <v>49.245682524999999</v>
      </c>
    </row>
    <row r="51" spans="1:14" ht="12" customHeight="1" x14ac:dyDescent="0.2">
      <c r="A51" s="24" t="s">
        <v>25</v>
      </c>
      <c r="B51" s="57">
        <v>12508</v>
      </c>
      <c r="C51" s="57">
        <v>14049</v>
      </c>
      <c r="D51" s="58">
        <v>26557</v>
      </c>
      <c r="E51" s="59">
        <v>52.901306623000004</v>
      </c>
      <c r="F51" s="60"/>
      <c r="G51" s="57">
        <v>5663</v>
      </c>
      <c r="H51" s="57">
        <v>7054</v>
      </c>
      <c r="I51" s="58">
        <v>12717</v>
      </c>
      <c r="J51" s="59">
        <v>55.469057167999999</v>
      </c>
      <c r="K51" s="11"/>
      <c r="L51" s="59">
        <v>45.275023984999997</v>
      </c>
      <c r="M51" s="59">
        <v>50.209979357999998</v>
      </c>
      <c r="N51" s="59">
        <v>47.885679858000003</v>
      </c>
    </row>
    <row r="52" spans="1:14" ht="12" customHeight="1" x14ac:dyDescent="0.2">
      <c r="A52" s="24" t="s">
        <v>26</v>
      </c>
      <c r="B52" s="57">
        <v>56309</v>
      </c>
      <c r="C52" s="57">
        <v>70237</v>
      </c>
      <c r="D52" s="58">
        <v>126546</v>
      </c>
      <c r="E52" s="59">
        <v>55.503137199000001</v>
      </c>
      <c r="F52" s="60"/>
      <c r="G52" s="57">
        <v>32897</v>
      </c>
      <c r="H52" s="57">
        <v>40231</v>
      </c>
      <c r="I52" s="58">
        <v>73128</v>
      </c>
      <c r="J52" s="59">
        <v>55.014495132</v>
      </c>
      <c r="K52" s="11"/>
      <c r="L52" s="59">
        <v>58.422277078</v>
      </c>
      <c r="M52" s="59">
        <v>57.278927060999997</v>
      </c>
      <c r="N52" s="59">
        <v>57.78768195</v>
      </c>
    </row>
    <row r="53" spans="1:14" ht="12" customHeight="1" x14ac:dyDescent="0.2">
      <c r="A53" s="24" t="s">
        <v>27</v>
      </c>
      <c r="B53" s="57">
        <v>169</v>
      </c>
      <c r="C53" s="57">
        <v>560</v>
      </c>
      <c r="D53" s="58">
        <v>729</v>
      </c>
      <c r="E53" s="59">
        <v>76.817558298999998</v>
      </c>
      <c r="F53" s="60"/>
      <c r="G53" s="57">
        <v>102</v>
      </c>
      <c r="H53" s="57">
        <v>245</v>
      </c>
      <c r="I53" s="58">
        <v>347</v>
      </c>
      <c r="J53" s="59">
        <v>70.605187319999999</v>
      </c>
      <c r="K53" s="11"/>
      <c r="L53" s="59">
        <v>60.355029586000001</v>
      </c>
      <c r="M53" s="59">
        <v>43.75</v>
      </c>
      <c r="N53" s="59">
        <v>47.599451303000002</v>
      </c>
    </row>
    <row r="54" spans="1:14" ht="20.100000000000001" customHeight="1" x14ac:dyDescent="0.2">
      <c r="A54" s="31" t="s">
        <v>6</v>
      </c>
      <c r="B54" s="65">
        <v>110466</v>
      </c>
      <c r="C54" s="65">
        <v>131160</v>
      </c>
      <c r="D54" s="65">
        <v>241626</v>
      </c>
      <c r="E54" s="68">
        <v>54.282237838999997</v>
      </c>
      <c r="F54" s="65"/>
      <c r="G54" s="65">
        <v>58726</v>
      </c>
      <c r="H54" s="65">
        <v>71584</v>
      </c>
      <c r="I54" s="65">
        <v>130310</v>
      </c>
      <c r="J54" s="68">
        <v>54.933619829999998</v>
      </c>
      <c r="K54" s="69"/>
      <c r="L54" s="70">
        <v>53.162058913999999</v>
      </c>
      <c r="M54" s="70">
        <v>54.577615127000001</v>
      </c>
      <c r="N54" s="70">
        <v>53.930454503999997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58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1F49-718E-48F5-8282-F4677DDC15F8}">
  <dimension ref="A1:N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" customHeight="1" x14ac:dyDescent="0.3">
      <c r="A5" s="15" t="s">
        <v>54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56</v>
      </c>
      <c r="F11" s="11"/>
      <c r="G11" s="11" t="s">
        <v>2</v>
      </c>
      <c r="H11" s="11"/>
      <c r="I11" s="11" t="s">
        <v>2</v>
      </c>
      <c r="J11" s="27" t="s">
        <v>56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57">
        <v>4257</v>
      </c>
      <c r="C16" s="57">
        <v>4153</v>
      </c>
      <c r="D16" s="58">
        <v>8410</v>
      </c>
      <c r="E16" s="59">
        <v>49.381688466</v>
      </c>
      <c r="F16" s="60"/>
      <c r="G16" s="57">
        <v>1503</v>
      </c>
      <c r="H16" s="57">
        <v>1639</v>
      </c>
      <c r="I16" s="58">
        <v>3142</v>
      </c>
      <c r="J16" s="59">
        <v>52.164226607000003</v>
      </c>
      <c r="K16" s="11"/>
      <c r="L16" s="59">
        <v>35.306553911000002</v>
      </c>
      <c r="M16" s="59">
        <v>39.465446665000002</v>
      </c>
      <c r="N16" s="59">
        <v>37.360285374999997</v>
      </c>
    </row>
    <row r="17" spans="1:14" ht="12" customHeight="1" x14ac:dyDescent="0.2">
      <c r="A17" s="24" t="s">
        <v>24</v>
      </c>
      <c r="B17" s="57">
        <v>10962</v>
      </c>
      <c r="C17" s="57">
        <v>10841</v>
      </c>
      <c r="D17" s="58">
        <v>21803</v>
      </c>
      <c r="E17" s="59">
        <v>49.722515250000001</v>
      </c>
      <c r="F17" s="60"/>
      <c r="G17" s="57">
        <v>3603</v>
      </c>
      <c r="H17" s="57">
        <v>4070</v>
      </c>
      <c r="I17" s="58">
        <v>7673</v>
      </c>
      <c r="J17" s="59">
        <v>53.043138276999997</v>
      </c>
      <c r="K17" s="11"/>
      <c r="L17" s="59">
        <v>32.868089765000001</v>
      </c>
      <c r="M17" s="59">
        <v>37.542662116000002</v>
      </c>
      <c r="N17" s="59">
        <v>35.192404715000002</v>
      </c>
    </row>
    <row r="18" spans="1:14" ht="12" customHeight="1" x14ac:dyDescent="0.2">
      <c r="A18" s="24" t="s">
        <v>25</v>
      </c>
      <c r="B18" s="57">
        <v>10411</v>
      </c>
      <c r="C18" s="57">
        <v>10632</v>
      </c>
      <c r="D18" s="58">
        <v>21043</v>
      </c>
      <c r="E18" s="59">
        <v>50.525115239999998</v>
      </c>
      <c r="F18" s="60"/>
      <c r="G18" s="57">
        <v>3597</v>
      </c>
      <c r="H18" s="57">
        <v>3908</v>
      </c>
      <c r="I18" s="58">
        <v>7505</v>
      </c>
      <c r="J18" s="59">
        <v>52.071952031999999</v>
      </c>
      <c r="K18" s="11"/>
      <c r="L18" s="59">
        <v>34.549995197000001</v>
      </c>
      <c r="M18" s="59">
        <v>36.756960120000002</v>
      </c>
      <c r="N18" s="59">
        <v>35.665066768000003</v>
      </c>
    </row>
    <row r="19" spans="1:14" ht="12" customHeight="1" x14ac:dyDescent="0.2">
      <c r="A19" s="24" t="s">
        <v>30</v>
      </c>
      <c r="B19" s="57">
        <v>9401</v>
      </c>
      <c r="C19" s="57">
        <v>9935</v>
      </c>
      <c r="D19" s="58">
        <v>19336</v>
      </c>
      <c r="E19" s="59">
        <v>51.380844021999998</v>
      </c>
      <c r="F19" s="60"/>
      <c r="G19" s="57">
        <v>3524</v>
      </c>
      <c r="H19" s="57">
        <v>3812</v>
      </c>
      <c r="I19" s="58">
        <v>7336</v>
      </c>
      <c r="J19" s="59">
        <v>51.962922573999997</v>
      </c>
      <c r="K19" s="11"/>
      <c r="L19" s="59">
        <v>37.485373895999999</v>
      </c>
      <c r="M19" s="59">
        <v>38.369401107000002</v>
      </c>
      <c r="N19" s="59">
        <v>37.939594538999998</v>
      </c>
    </row>
    <row r="20" spans="1:14" ht="12" customHeight="1" x14ac:dyDescent="0.2">
      <c r="A20" s="24" t="s">
        <v>31</v>
      </c>
      <c r="B20" s="57">
        <v>8368</v>
      </c>
      <c r="C20" s="57">
        <v>9320</v>
      </c>
      <c r="D20" s="58">
        <v>17688</v>
      </c>
      <c r="E20" s="59">
        <v>52.691090005</v>
      </c>
      <c r="F20" s="60"/>
      <c r="G20" s="57">
        <v>3538</v>
      </c>
      <c r="H20" s="57">
        <v>3891</v>
      </c>
      <c r="I20" s="58">
        <v>7429</v>
      </c>
      <c r="J20" s="59">
        <v>52.375824471999998</v>
      </c>
      <c r="K20" s="11"/>
      <c r="L20" s="59">
        <v>42.280114722999997</v>
      </c>
      <c r="M20" s="59">
        <v>41.748927039000002</v>
      </c>
      <c r="N20" s="59">
        <v>42.000226142000002</v>
      </c>
    </row>
    <row r="21" spans="1:14" ht="15.9" customHeight="1" x14ac:dyDescent="0.2">
      <c r="A21" s="24" t="s">
        <v>32</v>
      </c>
      <c r="B21" s="57">
        <v>9120</v>
      </c>
      <c r="C21" s="57">
        <v>10593</v>
      </c>
      <c r="D21" s="58">
        <v>19713</v>
      </c>
      <c r="E21" s="59">
        <v>53.736113224999997</v>
      </c>
      <c r="F21" s="60"/>
      <c r="G21" s="57">
        <v>4195</v>
      </c>
      <c r="H21" s="57">
        <v>4824</v>
      </c>
      <c r="I21" s="58">
        <v>9019</v>
      </c>
      <c r="J21" s="59">
        <v>53.487082825000002</v>
      </c>
      <c r="K21" s="11"/>
      <c r="L21" s="59">
        <v>45.997807018000003</v>
      </c>
      <c r="M21" s="59">
        <v>45.539507221999997</v>
      </c>
      <c r="N21" s="59">
        <v>45.75153452</v>
      </c>
    </row>
    <row r="22" spans="1:14" ht="12" customHeight="1" x14ac:dyDescent="0.2">
      <c r="A22" s="24" t="s">
        <v>33</v>
      </c>
      <c r="B22" s="57">
        <v>10346</v>
      </c>
      <c r="C22" s="57">
        <v>11958</v>
      </c>
      <c r="D22" s="58">
        <v>22304</v>
      </c>
      <c r="E22" s="59">
        <v>53.613701577999997</v>
      </c>
      <c r="F22" s="60"/>
      <c r="G22" s="57">
        <v>5328</v>
      </c>
      <c r="H22" s="57">
        <v>5961</v>
      </c>
      <c r="I22" s="58">
        <v>11289</v>
      </c>
      <c r="J22" s="59">
        <v>52.803614138</v>
      </c>
      <c r="K22" s="11"/>
      <c r="L22" s="59">
        <v>51.498163540999997</v>
      </c>
      <c r="M22" s="59">
        <v>49.849473156000002</v>
      </c>
      <c r="N22" s="59">
        <v>50.614239597999997</v>
      </c>
    </row>
    <row r="23" spans="1:14" ht="12" customHeight="1" x14ac:dyDescent="0.2">
      <c r="A23" s="24" t="s">
        <v>34</v>
      </c>
      <c r="B23" s="57">
        <v>11008</v>
      </c>
      <c r="C23" s="57">
        <v>12771</v>
      </c>
      <c r="D23" s="58">
        <v>23779</v>
      </c>
      <c r="E23" s="59">
        <v>53.707052441000002</v>
      </c>
      <c r="F23" s="60"/>
      <c r="G23" s="57">
        <v>6010</v>
      </c>
      <c r="H23" s="57">
        <v>6844</v>
      </c>
      <c r="I23" s="58">
        <v>12854</v>
      </c>
      <c r="J23" s="59">
        <v>53.244126342000001</v>
      </c>
      <c r="K23" s="11"/>
      <c r="L23" s="59">
        <v>54.596656977000002</v>
      </c>
      <c r="M23" s="59">
        <v>53.590165218000003</v>
      </c>
      <c r="N23" s="59">
        <v>54.056099920000001</v>
      </c>
    </row>
    <row r="24" spans="1:14" ht="12" customHeight="1" x14ac:dyDescent="0.2">
      <c r="A24" s="24" t="s">
        <v>35</v>
      </c>
      <c r="B24" s="57">
        <v>11609</v>
      </c>
      <c r="C24" s="57">
        <v>13606</v>
      </c>
      <c r="D24" s="58">
        <v>25215</v>
      </c>
      <c r="E24" s="59">
        <v>53.959944477000001</v>
      </c>
      <c r="F24" s="60"/>
      <c r="G24" s="57">
        <v>6890</v>
      </c>
      <c r="H24" s="57">
        <v>7645</v>
      </c>
      <c r="I24" s="58">
        <v>14535</v>
      </c>
      <c r="J24" s="59">
        <v>52.597179222999998</v>
      </c>
      <c r="K24" s="11"/>
      <c r="L24" s="59">
        <v>59.350503918999998</v>
      </c>
      <c r="M24" s="59">
        <v>56.188446274</v>
      </c>
      <c r="N24" s="59">
        <v>57.644259368999997</v>
      </c>
    </row>
    <row r="25" spans="1:14" ht="12" customHeight="1" x14ac:dyDescent="0.2">
      <c r="A25" s="24" t="s">
        <v>36</v>
      </c>
      <c r="B25" s="57">
        <v>9694</v>
      </c>
      <c r="C25" s="57">
        <v>11325</v>
      </c>
      <c r="D25" s="58">
        <v>21019</v>
      </c>
      <c r="E25" s="59">
        <v>53.879823017</v>
      </c>
      <c r="F25" s="60"/>
      <c r="G25" s="57">
        <v>5965</v>
      </c>
      <c r="H25" s="57">
        <v>6804</v>
      </c>
      <c r="I25" s="58">
        <v>12769</v>
      </c>
      <c r="J25" s="59">
        <v>53.285300337000002</v>
      </c>
      <c r="K25" s="11"/>
      <c r="L25" s="59">
        <v>61.532906953000001</v>
      </c>
      <c r="M25" s="59">
        <v>60.079470198999999</v>
      </c>
      <c r="N25" s="59">
        <v>60.749797802000003</v>
      </c>
    </row>
    <row r="26" spans="1:14" ht="15.9" customHeight="1" x14ac:dyDescent="0.2">
      <c r="A26" s="24" t="s">
        <v>37</v>
      </c>
      <c r="B26" s="57">
        <v>7771</v>
      </c>
      <c r="C26" s="57">
        <v>9835</v>
      </c>
      <c r="D26" s="58">
        <v>17606</v>
      </c>
      <c r="E26" s="59">
        <v>55.861638077999999</v>
      </c>
      <c r="F26" s="60"/>
      <c r="G26" s="57">
        <v>5245</v>
      </c>
      <c r="H26" s="57">
        <v>6201</v>
      </c>
      <c r="I26" s="58">
        <v>11446</v>
      </c>
      <c r="J26" s="59">
        <v>54.176131400000003</v>
      </c>
      <c r="K26" s="11"/>
      <c r="L26" s="59">
        <v>67.494530948000005</v>
      </c>
      <c r="M26" s="59">
        <v>63.050330451999997</v>
      </c>
      <c r="N26" s="59">
        <v>65.011927752000005</v>
      </c>
    </row>
    <row r="27" spans="1:14" ht="12" customHeight="1" x14ac:dyDescent="0.2">
      <c r="A27" s="24" t="s">
        <v>38</v>
      </c>
      <c r="B27" s="57">
        <v>6937</v>
      </c>
      <c r="C27" s="57">
        <v>9648</v>
      </c>
      <c r="D27" s="58">
        <v>16585</v>
      </c>
      <c r="E27" s="59">
        <v>58.173047935</v>
      </c>
      <c r="F27" s="60"/>
      <c r="G27" s="57">
        <v>4719</v>
      </c>
      <c r="H27" s="57">
        <v>6288</v>
      </c>
      <c r="I27" s="58">
        <v>11007</v>
      </c>
      <c r="J27" s="59">
        <v>57.127282637999997</v>
      </c>
      <c r="K27" s="11"/>
      <c r="L27" s="59">
        <v>68.026524433999995</v>
      </c>
      <c r="M27" s="59">
        <v>65.174129352999998</v>
      </c>
      <c r="N27" s="59">
        <v>66.367199275999994</v>
      </c>
    </row>
    <row r="28" spans="1:14" ht="12" customHeight="1" x14ac:dyDescent="0.2">
      <c r="A28" s="24" t="s">
        <v>39</v>
      </c>
      <c r="B28" s="57">
        <v>6266</v>
      </c>
      <c r="C28" s="57">
        <v>8968</v>
      </c>
      <c r="D28" s="58">
        <v>15234</v>
      </c>
      <c r="E28" s="59">
        <v>58.868320861000001</v>
      </c>
      <c r="F28" s="60"/>
      <c r="G28" s="57">
        <v>4428</v>
      </c>
      <c r="H28" s="57">
        <v>5835</v>
      </c>
      <c r="I28" s="58">
        <v>10263</v>
      </c>
      <c r="J28" s="59">
        <v>56.854720841999999</v>
      </c>
      <c r="K28" s="11"/>
      <c r="L28" s="59">
        <v>70.667092244000003</v>
      </c>
      <c r="M28" s="59">
        <v>65.064674397999994</v>
      </c>
      <c r="N28" s="59">
        <v>67.369042930000006</v>
      </c>
    </row>
    <row r="29" spans="1:14" ht="12" customHeight="1" x14ac:dyDescent="0.2">
      <c r="A29" s="24" t="s">
        <v>40</v>
      </c>
      <c r="B29" s="57">
        <v>3921</v>
      </c>
      <c r="C29" s="57">
        <v>5973</v>
      </c>
      <c r="D29" s="58">
        <v>9894</v>
      </c>
      <c r="E29" s="59">
        <v>60.369921163999997</v>
      </c>
      <c r="F29" s="60"/>
      <c r="G29" s="57">
        <v>2676</v>
      </c>
      <c r="H29" s="57">
        <v>3447</v>
      </c>
      <c r="I29" s="58">
        <v>6123</v>
      </c>
      <c r="J29" s="59">
        <v>56.295933366</v>
      </c>
      <c r="K29" s="11"/>
      <c r="L29" s="59">
        <v>68.247895944999996</v>
      </c>
      <c r="M29" s="59">
        <v>57.709693621</v>
      </c>
      <c r="N29" s="59">
        <v>61.885991509999997</v>
      </c>
    </row>
    <row r="30" spans="1:14" ht="12" customHeight="1" x14ac:dyDescent="0.2">
      <c r="A30" s="24" t="s">
        <v>41</v>
      </c>
      <c r="B30" s="57">
        <v>2559</v>
      </c>
      <c r="C30" s="57">
        <v>4265</v>
      </c>
      <c r="D30" s="58">
        <v>6824</v>
      </c>
      <c r="E30" s="59">
        <v>62.5</v>
      </c>
      <c r="F30" s="60"/>
      <c r="G30" s="57">
        <v>1542</v>
      </c>
      <c r="H30" s="57">
        <v>2105</v>
      </c>
      <c r="I30" s="58">
        <v>3647</v>
      </c>
      <c r="J30" s="59">
        <v>57.718672882</v>
      </c>
      <c r="K30" s="11"/>
      <c r="L30" s="59">
        <v>60.257913246999998</v>
      </c>
      <c r="M30" s="59">
        <v>49.355216882000001</v>
      </c>
      <c r="N30" s="59">
        <v>53.443728018999998</v>
      </c>
    </row>
    <row r="31" spans="1:14" ht="12" customHeight="1" x14ac:dyDescent="0.2">
      <c r="A31" s="24" t="s">
        <v>10</v>
      </c>
      <c r="B31" s="57">
        <v>1288</v>
      </c>
      <c r="C31" s="57">
        <v>3370</v>
      </c>
      <c r="D31" s="58">
        <v>4658</v>
      </c>
      <c r="E31" s="59">
        <v>72.348647487999997</v>
      </c>
      <c r="F31" s="60"/>
      <c r="G31" s="57">
        <v>658</v>
      </c>
      <c r="H31" s="57">
        <v>1155</v>
      </c>
      <c r="I31" s="58">
        <v>1813</v>
      </c>
      <c r="J31" s="59">
        <v>63.706563707000001</v>
      </c>
      <c r="K31" s="11"/>
      <c r="L31" s="59">
        <v>51.086956522000001</v>
      </c>
      <c r="M31" s="59">
        <v>34.272997033000003</v>
      </c>
      <c r="N31" s="59">
        <v>38.922284242000003</v>
      </c>
    </row>
    <row r="32" spans="1:14" s="30" customFormat="1" ht="20.100000000000001" customHeight="1" x14ac:dyDescent="0.2">
      <c r="A32" s="31" t="s">
        <v>6</v>
      </c>
      <c r="B32" s="61">
        <v>123918</v>
      </c>
      <c r="C32" s="61">
        <v>147193</v>
      </c>
      <c r="D32" s="61">
        <v>271111</v>
      </c>
      <c r="E32" s="62">
        <v>54.292522251000001</v>
      </c>
      <c r="F32" s="63"/>
      <c r="G32" s="61">
        <v>63421</v>
      </c>
      <c r="H32" s="61">
        <v>74429</v>
      </c>
      <c r="I32" s="61">
        <v>137850</v>
      </c>
      <c r="J32" s="62">
        <v>53.992745738000004</v>
      </c>
      <c r="K32" s="64"/>
      <c r="L32" s="62">
        <v>51.179812456999997</v>
      </c>
      <c r="M32" s="62">
        <v>50.565583961000002</v>
      </c>
      <c r="N32" s="62">
        <v>50.846332314000001</v>
      </c>
    </row>
    <row r="33" spans="1:14" ht="15.9" customHeight="1" x14ac:dyDescent="0.2">
      <c r="A33" s="24" t="s">
        <v>11</v>
      </c>
      <c r="B33" s="57">
        <v>43399</v>
      </c>
      <c r="C33" s="57">
        <v>44881</v>
      </c>
      <c r="D33" s="58">
        <v>88280</v>
      </c>
      <c r="E33" s="59">
        <v>50.839374716999998</v>
      </c>
      <c r="F33" s="60"/>
      <c r="G33" s="57">
        <v>15765</v>
      </c>
      <c r="H33" s="57">
        <v>17320</v>
      </c>
      <c r="I33" s="58">
        <v>33085</v>
      </c>
      <c r="J33" s="59">
        <v>52.350007556000001</v>
      </c>
      <c r="K33" s="11"/>
      <c r="L33" s="59">
        <v>36.325721790999999</v>
      </c>
      <c r="M33" s="59">
        <v>38.590940486999997</v>
      </c>
      <c r="N33" s="59">
        <v>37.477344811999998</v>
      </c>
    </row>
    <row r="34" spans="1:14" ht="12" customHeight="1" x14ac:dyDescent="0.2">
      <c r="A34" s="24" t="s">
        <v>12</v>
      </c>
      <c r="B34" s="57">
        <v>51777</v>
      </c>
      <c r="C34" s="57">
        <v>60253</v>
      </c>
      <c r="D34" s="58">
        <v>112030</v>
      </c>
      <c r="E34" s="59">
        <v>53.782915291000002</v>
      </c>
      <c r="F34" s="60"/>
      <c r="G34" s="57">
        <v>28388</v>
      </c>
      <c r="H34" s="57">
        <v>32078</v>
      </c>
      <c r="I34" s="58">
        <v>60466</v>
      </c>
      <c r="J34" s="59">
        <v>53.051301557999999</v>
      </c>
      <c r="K34" s="11"/>
      <c r="L34" s="59">
        <v>54.827433030000002</v>
      </c>
      <c r="M34" s="59">
        <v>53.238842879000003</v>
      </c>
      <c r="N34" s="59">
        <v>53.973042935000002</v>
      </c>
    </row>
    <row r="35" spans="1:14" ht="12" customHeight="1" x14ac:dyDescent="0.2">
      <c r="A35" s="24" t="s">
        <v>13</v>
      </c>
      <c r="B35" s="57">
        <v>28742</v>
      </c>
      <c r="C35" s="57">
        <v>42059</v>
      </c>
      <c r="D35" s="58">
        <v>70801</v>
      </c>
      <c r="E35" s="59">
        <v>59.404528184999997</v>
      </c>
      <c r="F35" s="60"/>
      <c r="G35" s="57">
        <v>19268</v>
      </c>
      <c r="H35" s="57">
        <v>25031</v>
      </c>
      <c r="I35" s="58">
        <v>44299</v>
      </c>
      <c r="J35" s="59">
        <v>56.504661505000001</v>
      </c>
      <c r="K35" s="11"/>
      <c r="L35" s="59">
        <v>67.037784427000005</v>
      </c>
      <c r="M35" s="59">
        <v>59.514016024999997</v>
      </c>
      <c r="N35" s="59">
        <v>62.568325305999998</v>
      </c>
    </row>
    <row r="36" spans="1:14" ht="20.100000000000001" customHeight="1" x14ac:dyDescent="0.2">
      <c r="A36" s="32" t="s">
        <v>44</v>
      </c>
      <c r="B36" s="65"/>
      <c r="C36" s="65"/>
      <c r="D36" s="65"/>
      <c r="E36" s="66"/>
      <c r="F36" s="65"/>
      <c r="G36" s="65"/>
      <c r="H36" s="65"/>
      <c r="I36" s="65"/>
      <c r="J36" s="59"/>
      <c r="K36" s="11"/>
      <c r="L36" s="59"/>
      <c r="M36" s="59"/>
      <c r="N36" s="59"/>
    </row>
    <row r="37" spans="1:14" ht="15.9" customHeight="1" x14ac:dyDescent="0.2">
      <c r="A37" s="24" t="s">
        <v>14</v>
      </c>
      <c r="B37" s="57">
        <v>44535</v>
      </c>
      <c r="C37" s="57">
        <v>45121</v>
      </c>
      <c r="D37" s="58">
        <v>89656</v>
      </c>
      <c r="E37" s="59">
        <v>50.326804676000002</v>
      </c>
      <c r="F37" s="60"/>
      <c r="G37" s="57">
        <v>18577</v>
      </c>
      <c r="H37" s="57">
        <v>20807</v>
      </c>
      <c r="I37" s="58">
        <v>39384</v>
      </c>
      <c r="J37" s="59">
        <v>52.831098922999999</v>
      </c>
      <c r="K37" s="11"/>
      <c r="L37" s="59">
        <v>41.713259233999999</v>
      </c>
      <c r="M37" s="59">
        <v>46.113782938999996</v>
      </c>
      <c r="N37" s="59">
        <v>43.927902203999999</v>
      </c>
    </row>
    <row r="38" spans="1:14" ht="12" customHeight="1" x14ac:dyDescent="0.2">
      <c r="A38" s="24" t="s">
        <v>15</v>
      </c>
      <c r="B38" s="57">
        <v>51443</v>
      </c>
      <c r="C38" s="57">
        <v>52158</v>
      </c>
      <c r="D38" s="58">
        <v>103601</v>
      </c>
      <c r="E38" s="59">
        <v>50.345073888999998</v>
      </c>
      <c r="F38" s="60"/>
      <c r="G38" s="57">
        <v>32740</v>
      </c>
      <c r="H38" s="57">
        <v>31745</v>
      </c>
      <c r="I38" s="58">
        <v>64485</v>
      </c>
      <c r="J38" s="59">
        <v>49.228502753000001</v>
      </c>
      <c r="K38" s="11"/>
      <c r="L38" s="59">
        <v>63.643255642</v>
      </c>
      <c r="M38" s="59">
        <v>60.863146593000003</v>
      </c>
      <c r="N38" s="59">
        <v>62.243607687000001</v>
      </c>
    </row>
    <row r="39" spans="1:14" ht="12" customHeight="1" x14ac:dyDescent="0.2">
      <c r="A39" s="24" t="s">
        <v>16</v>
      </c>
      <c r="B39" s="57">
        <v>2590</v>
      </c>
      <c r="C39" s="57">
        <v>12191</v>
      </c>
      <c r="D39" s="58">
        <v>14781</v>
      </c>
      <c r="E39" s="59">
        <v>82.477504905000004</v>
      </c>
      <c r="F39" s="60"/>
      <c r="G39" s="57">
        <v>1573</v>
      </c>
      <c r="H39" s="57">
        <v>6106</v>
      </c>
      <c r="I39" s="58">
        <v>7679</v>
      </c>
      <c r="J39" s="59">
        <v>79.515561922000003</v>
      </c>
      <c r="K39" s="11"/>
      <c r="L39" s="59">
        <v>60.733590734000003</v>
      </c>
      <c r="M39" s="59">
        <v>50.086129112000002</v>
      </c>
      <c r="N39" s="59">
        <v>51.951830051999998</v>
      </c>
    </row>
    <row r="40" spans="1:14" ht="12" customHeight="1" x14ac:dyDescent="0.2">
      <c r="A40" s="24" t="s">
        <v>17</v>
      </c>
      <c r="B40" s="57">
        <v>10988</v>
      </c>
      <c r="C40" s="57">
        <v>21174</v>
      </c>
      <c r="D40" s="58">
        <v>32162</v>
      </c>
      <c r="E40" s="59">
        <v>65.835457993999995</v>
      </c>
      <c r="F40" s="60"/>
      <c r="G40" s="57">
        <v>6059</v>
      </c>
      <c r="H40" s="57">
        <v>10855</v>
      </c>
      <c r="I40" s="58">
        <v>16914</v>
      </c>
      <c r="J40" s="59">
        <v>64.177604350999999</v>
      </c>
      <c r="K40" s="11"/>
      <c r="L40" s="59">
        <v>55.141973061999998</v>
      </c>
      <c r="M40" s="59">
        <v>51.265703221000003</v>
      </c>
      <c r="N40" s="59">
        <v>52.590013059</v>
      </c>
    </row>
    <row r="41" spans="1:14" ht="12" customHeight="1" x14ac:dyDescent="0.2">
      <c r="A41" s="24" t="s">
        <v>45</v>
      </c>
      <c r="B41" s="57">
        <v>657</v>
      </c>
      <c r="C41" s="57">
        <v>393</v>
      </c>
      <c r="D41" s="58">
        <v>1050</v>
      </c>
      <c r="E41" s="59">
        <v>37.428571429000002</v>
      </c>
      <c r="F41" s="60"/>
      <c r="G41" s="57">
        <v>486</v>
      </c>
      <c r="H41" s="57">
        <v>273</v>
      </c>
      <c r="I41" s="58">
        <v>759</v>
      </c>
      <c r="J41" s="59">
        <v>35.968379446999997</v>
      </c>
      <c r="K41" s="11"/>
      <c r="L41" s="59">
        <v>73.972602739999999</v>
      </c>
      <c r="M41" s="59">
        <v>69.465648854999998</v>
      </c>
      <c r="N41" s="59">
        <v>72.285714286000001</v>
      </c>
    </row>
    <row r="42" spans="1:14" ht="20.100000000000001" customHeight="1" x14ac:dyDescent="0.2">
      <c r="A42" s="32" t="s">
        <v>46</v>
      </c>
      <c r="B42" s="65"/>
      <c r="C42" s="65"/>
      <c r="D42" s="65"/>
      <c r="E42" s="66"/>
      <c r="F42" s="65"/>
      <c r="G42" s="65"/>
      <c r="H42" s="65"/>
      <c r="I42" s="65"/>
      <c r="J42" s="66"/>
      <c r="K42" s="11"/>
      <c r="L42" s="59"/>
      <c r="M42" s="59"/>
      <c r="N42" s="59"/>
    </row>
    <row r="43" spans="1:14" ht="15.9" customHeight="1" x14ac:dyDescent="0.2">
      <c r="A43" s="24" t="s">
        <v>18</v>
      </c>
      <c r="B43" s="57">
        <v>69143</v>
      </c>
      <c r="C43" s="57">
        <v>84134</v>
      </c>
      <c r="D43" s="58">
        <v>153277</v>
      </c>
      <c r="E43" s="59">
        <v>54.890166170000001</v>
      </c>
      <c r="F43" s="60"/>
      <c r="G43" s="57">
        <v>36801</v>
      </c>
      <c r="H43" s="57">
        <v>44772</v>
      </c>
      <c r="I43" s="58">
        <v>81573</v>
      </c>
      <c r="J43" s="59">
        <v>54.885807804000002</v>
      </c>
      <c r="K43" s="11"/>
      <c r="L43" s="59">
        <v>53.224476809000002</v>
      </c>
      <c r="M43" s="59">
        <v>53.215109231</v>
      </c>
      <c r="N43" s="59">
        <v>53.219334930000002</v>
      </c>
    </row>
    <row r="44" spans="1:14" ht="12" customHeight="1" x14ac:dyDescent="0.2">
      <c r="A44" s="24" t="s">
        <v>19</v>
      </c>
      <c r="B44" s="57">
        <v>41070</v>
      </c>
      <c r="C44" s="57">
        <v>46903</v>
      </c>
      <c r="D44" s="58">
        <v>87973</v>
      </c>
      <c r="E44" s="59">
        <v>53.315221716000003</v>
      </c>
      <c r="F44" s="60"/>
      <c r="G44" s="57">
        <v>22634</v>
      </c>
      <c r="H44" s="57">
        <v>25014</v>
      </c>
      <c r="I44" s="58">
        <v>47648</v>
      </c>
      <c r="J44" s="59">
        <v>52.497481530999998</v>
      </c>
      <c r="K44" s="11"/>
      <c r="L44" s="59">
        <v>55.110786462</v>
      </c>
      <c r="M44" s="59">
        <v>53.331343410999999</v>
      </c>
      <c r="N44" s="59">
        <v>54.162072453999997</v>
      </c>
    </row>
    <row r="45" spans="1:14" ht="20.100000000000001" customHeight="1" x14ac:dyDescent="0.2">
      <c r="A45" s="32" t="s">
        <v>47</v>
      </c>
      <c r="B45" s="67"/>
      <c r="C45" s="67"/>
      <c r="D45" s="60"/>
      <c r="E45" s="59"/>
      <c r="F45" s="67"/>
      <c r="G45" s="67"/>
      <c r="H45" s="67"/>
      <c r="I45" s="60"/>
      <c r="J45" s="59"/>
      <c r="K45" s="11"/>
      <c r="L45" s="59"/>
      <c r="M45" s="59"/>
      <c r="N45" s="59"/>
    </row>
    <row r="46" spans="1:14" ht="15.9" customHeight="1" x14ac:dyDescent="0.2">
      <c r="A46" s="24" t="s">
        <v>20</v>
      </c>
      <c r="B46" s="57">
        <v>6138</v>
      </c>
      <c r="C46" s="57">
        <v>6151</v>
      </c>
      <c r="D46" s="58">
        <v>12289</v>
      </c>
      <c r="E46" s="59">
        <v>50.052892831000001</v>
      </c>
      <c r="F46" s="60"/>
      <c r="G46" s="57">
        <v>2709</v>
      </c>
      <c r="H46" s="57">
        <v>2727</v>
      </c>
      <c r="I46" s="58">
        <v>5436</v>
      </c>
      <c r="J46" s="59">
        <v>50.165562913999999</v>
      </c>
      <c r="K46" s="11"/>
      <c r="L46" s="59">
        <v>44.134897361</v>
      </c>
      <c r="M46" s="59">
        <v>44.334254592999997</v>
      </c>
      <c r="N46" s="59">
        <v>44.234681422000001</v>
      </c>
    </row>
    <row r="47" spans="1:14" ht="12" customHeight="1" x14ac:dyDescent="0.2">
      <c r="A47" s="24" t="s">
        <v>21</v>
      </c>
      <c r="B47" s="57">
        <v>5787</v>
      </c>
      <c r="C47" s="57">
        <v>6343</v>
      </c>
      <c r="D47" s="58">
        <v>12130</v>
      </c>
      <c r="E47" s="59">
        <v>52.291838417000001</v>
      </c>
      <c r="F47" s="60"/>
      <c r="G47" s="57">
        <v>2869</v>
      </c>
      <c r="H47" s="57">
        <v>3078</v>
      </c>
      <c r="I47" s="58">
        <v>5947</v>
      </c>
      <c r="J47" s="59">
        <v>51.757188497999998</v>
      </c>
      <c r="K47" s="11"/>
      <c r="L47" s="59">
        <v>49.576637290000001</v>
      </c>
      <c r="M47" s="59">
        <v>48.525934100999997</v>
      </c>
      <c r="N47" s="59">
        <v>49.027205275999997</v>
      </c>
    </row>
    <row r="48" spans="1:14" ht="12" customHeight="1" x14ac:dyDescent="0.2">
      <c r="A48" s="24" t="s">
        <v>22</v>
      </c>
      <c r="B48" s="57">
        <v>5567</v>
      </c>
      <c r="C48" s="57">
        <v>6671</v>
      </c>
      <c r="D48" s="58">
        <v>12238</v>
      </c>
      <c r="E48" s="59">
        <v>54.510540937999998</v>
      </c>
      <c r="F48" s="60"/>
      <c r="G48" s="57">
        <v>2810</v>
      </c>
      <c r="H48" s="57">
        <v>3342</v>
      </c>
      <c r="I48" s="58">
        <v>6152</v>
      </c>
      <c r="J48" s="59">
        <v>54.323797139</v>
      </c>
      <c r="K48" s="11"/>
      <c r="L48" s="59">
        <v>50.476019399999998</v>
      </c>
      <c r="M48" s="59">
        <v>50.097436666</v>
      </c>
      <c r="N48" s="59">
        <v>50.269651904</v>
      </c>
    </row>
    <row r="49" spans="1:14" ht="12" customHeight="1" x14ac:dyDescent="0.2">
      <c r="A49" s="24" t="s">
        <v>23</v>
      </c>
      <c r="B49" s="57">
        <v>8963</v>
      </c>
      <c r="C49" s="57">
        <v>10339</v>
      </c>
      <c r="D49" s="58">
        <v>19302</v>
      </c>
      <c r="E49" s="59">
        <v>53.564397472000003</v>
      </c>
      <c r="F49" s="60"/>
      <c r="G49" s="57">
        <v>4366</v>
      </c>
      <c r="H49" s="57">
        <v>5136</v>
      </c>
      <c r="I49" s="58">
        <v>9502</v>
      </c>
      <c r="J49" s="59">
        <v>54.051778573</v>
      </c>
      <c r="K49" s="11"/>
      <c r="L49" s="59">
        <v>48.711368960999998</v>
      </c>
      <c r="M49" s="59">
        <v>49.675984137999997</v>
      </c>
      <c r="N49" s="59">
        <v>49.228059268000003</v>
      </c>
    </row>
    <row r="50" spans="1:14" ht="15.9" customHeight="1" x14ac:dyDescent="0.2">
      <c r="A50" s="24" t="s">
        <v>24</v>
      </c>
      <c r="B50" s="57">
        <v>14275</v>
      </c>
      <c r="C50" s="57">
        <v>16072</v>
      </c>
      <c r="D50" s="58">
        <v>30347</v>
      </c>
      <c r="E50" s="59">
        <v>52.960753945999997</v>
      </c>
      <c r="F50" s="60"/>
      <c r="G50" s="57">
        <v>6306</v>
      </c>
      <c r="H50" s="57">
        <v>7595</v>
      </c>
      <c r="I50" s="58">
        <v>13901</v>
      </c>
      <c r="J50" s="59">
        <v>54.636357097000001</v>
      </c>
      <c r="K50" s="11"/>
      <c r="L50" s="59">
        <v>44.175131348999997</v>
      </c>
      <c r="M50" s="59">
        <v>47.256097560999997</v>
      </c>
      <c r="N50" s="59">
        <v>45.806834283000001</v>
      </c>
    </row>
    <row r="51" spans="1:14" ht="12" customHeight="1" x14ac:dyDescent="0.2">
      <c r="A51" s="24" t="s">
        <v>25</v>
      </c>
      <c r="B51" s="57">
        <v>12584</v>
      </c>
      <c r="C51" s="57">
        <v>14158</v>
      </c>
      <c r="D51" s="58">
        <v>26742</v>
      </c>
      <c r="E51" s="59">
        <v>52.942936205000002</v>
      </c>
      <c r="F51" s="60"/>
      <c r="G51" s="57">
        <v>5527</v>
      </c>
      <c r="H51" s="57">
        <v>6382</v>
      </c>
      <c r="I51" s="58">
        <v>11909</v>
      </c>
      <c r="J51" s="59">
        <v>53.589722059000003</v>
      </c>
      <c r="K51" s="11"/>
      <c r="L51" s="59">
        <v>43.920851874999997</v>
      </c>
      <c r="M51" s="59">
        <v>45.076988274999998</v>
      </c>
      <c r="N51" s="59">
        <v>44.532944432000001</v>
      </c>
    </row>
    <row r="52" spans="1:14" ht="12" customHeight="1" x14ac:dyDescent="0.2">
      <c r="A52" s="24" t="s">
        <v>26</v>
      </c>
      <c r="B52" s="57">
        <v>56726</v>
      </c>
      <c r="C52" s="57">
        <v>70727</v>
      </c>
      <c r="D52" s="58">
        <v>127453</v>
      </c>
      <c r="E52" s="59">
        <v>55.492612962999999</v>
      </c>
      <c r="F52" s="60"/>
      <c r="G52" s="57">
        <v>34742</v>
      </c>
      <c r="H52" s="57">
        <v>41258</v>
      </c>
      <c r="I52" s="58">
        <v>76000</v>
      </c>
      <c r="J52" s="59">
        <v>54.286842104999998</v>
      </c>
      <c r="K52" s="11"/>
      <c r="L52" s="59">
        <v>61.245284349000002</v>
      </c>
      <c r="M52" s="59">
        <v>58.334158101</v>
      </c>
      <c r="N52" s="59">
        <v>59.629824327000001</v>
      </c>
    </row>
    <row r="53" spans="1:14" ht="12" customHeight="1" x14ac:dyDescent="0.2">
      <c r="A53" s="24" t="s">
        <v>27</v>
      </c>
      <c r="B53" s="57">
        <v>173</v>
      </c>
      <c r="C53" s="57">
        <v>576</v>
      </c>
      <c r="D53" s="58">
        <v>749</v>
      </c>
      <c r="E53" s="59">
        <v>76.902536716</v>
      </c>
      <c r="F53" s="60"/>
      <c r="G53" s="57">
        <v>106</v>
      </c>
      <c r="H53" s="57">
        <v>268</v>
      </c>
      <c r="I53" s="58">
        <v>374</v>
      </c>
      <c r="J53" s="59">
        <v>71.657754010999994</v>
      </c>
      <c r="K53" s="11"/>
      <c r="L53" s="59">
        <v>61.271676300999999</v>
      </c>
      <c r="M53" s="59">
        <v>46.527777778000001</v>
      </c>
      <c r="N53" s="59">
        <v>49.933244326000001</v>
      </c>
    </row>
    <row r="54" spans="1:14" ht="20.100000000000001" customHeight="1" x14ac:dyDescent="0.2">
      <c r="A54" s="31" t="s">
        <v>6</v>
      </c>
      <c r="B54" s="65">
        <v>110213</v>
      </c>
      <c r="C54" s="65">
        <v>131037</v>
      </c>
      <c r="D54" s="65">
        <v>241250</v>
      </c>
      <c r="E54" s="68">
        <v>54.315854922</v>
      </c>
      <c r="F54" s="65"/>
      <c r="G54" s="65">
        <v>59401</v>
      </c>
      <c r="H54" s="65">
        <v>69759</v>
      </c>
      <c r="I54" s="65">
        <v>129160</v>
      </c>
      <c r="J54" s="68">
        <v>54.009755341999998</v>
      </c>
      <c r="K54" s="69"/>
      <c r="L54" s="70">
        <v>53.896545779999997</v>
      </c>
      <c r="M54" s="70">
        <v>53.236108885</v>
      </c>
      <c r="N54" s="70">
        <v>53.537823834000001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55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E564-BB81-4D41-8C48-35A6DEA13283}">
  <dimension ref="A1:N59"/>
  <sheetViews>
    <sheetView workbookViewId="0">
      <pane ySplit="14" topLeftCell="A15" activePane="bottomLeft" state="frozen"/>
      <selection pane="bottomLeft" activeCell="O1" sqref="O1"/>
    </sheetView>
  </sheetViews>
  <sheetFormatPr baseColWidth="10" defaultColWidth="11.1640625" defaultRowHeight="10.199999999999999" x14ac:dyDescent="0.2"/>
  <cols>
    <col min="1" max="1" width="33.83203125" customWidth="1"/>
    <col min="2" max="5" width="9" customWidth="1"/>
    <col min="6" max="6" width="2" customWidth="1"/>
    <col min="7" max="10" width="9" customWidth="1"/>
    <col min="11" max="11" width="2" customWidth="1"/>
    <col min="12" max="14" width="9" customWidth="1"/>
  </cols>
  <sheetData>
    <row r="1" spans="1:14" s="1" customFormat="1" ht="34.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6"/>
    </row>
    <row r="2" spans="1:14" s="1" customFormat="1" ht="5.0999999999999996" customHeight="1" thickBot="1" x14ac:dyDescent="0.25">
      <c r="A2" s="7"/>
      <c r="B2" s="7"/>
      <c r="C2" s="7"/>
      <c r="D2" s="7"/>
      <c r="E2" s="7"/>
      <c r="F2" s="7"/>
      <c r="G2" s="7"/>
      <c r="H2" s="7"/>
      <c r="I2" s="8"/>
      <c r="J2" s="7"/>
      <c r="K2" s="9"/>
      <c r="L2" s="7"/>
      <c r="M2" s="9"/>
      <c r="N2" s="9"/>
    </row>
    <row r="3" spans="1:14" ht="39.9" customHeight="1" x14ac:dyDescent="0.3">
      <c r="A3" s="10" t="s">
        <v>42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</row>
    <row r="4" spans="1:14" ht="15" customHeight="1" x14ac:dyDescent="0.3">
      <c r="A4" s="13" t="s">
        <v>51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4" t="s">
        <v>50</v>
      </c>
    </row>
    <row r="5" spans="1:14" ht="15.9" customHeight="1" x14ac:dyDescent="0.3">
      <c r="A5" s="15" t="s">
        <v>52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 t="s">
        <v>1</v>
      </c>
    </row>
    <row r="6" spans="1:14" ht="5.0999999999999996" customHeight="1" x14ac:dyDescent="0.2">
      <c r="A6" s="18"/>
      <c r="B6" s="20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21"/>
    </row>
    <row r="7" spans="1:14" ht="5.0999999999999996" customHeight="1" x14ac:dyDescent="0.2">
      <c r="B7" s="22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11"/>
    </row>
    <row r="8" spans="1:14" ht="12" customHeight="1" x14ac:dyDescent="0.2">
      <c r="B8" s="22"/>
      <c r="C8" s="22"/>
      <c r="E8" s="41" t="s">
        <v>43</v>
      </c>
      <c r="F8" s="25"/>
      <c r="G8" s="25"/>
      <c r="H8" s="25"/>
      <c r="J8" s="25" t="s">
        <v>3</v>
      </c>
      <c r="K8" s="25"/>
      <c r="L8" s="25"/>
      <c r="M8" s="25"/>
      <c r="N8" s="39" t="s">
        <v>29</v>
      </c>
    </row>
    <row r="9" spans="1:14" ht="5.0999999999999996" customHeight="1" x14ac:dyDescent="0.2">
      <c r="B9" s="20"/>
      <c r="C9" s="20"/>
      <c r="D9" s="21"/>
      <c r="E9" s="21"/>
      <c r="F9" s="25"/>
      <c r="G9" s="21"/>
      <c r="H9" s="21"/>
      <c r="I9" s="21"/>
      <c r="J9" s="21"/>
      <c r="K9" s="25"/>
      <c r="L9" s="21"/>
      <c r="M9" s="21"/>
      <c r="N9" s="21"/>
    </row>
    <row r="10" spans="1:14" ht="5.0999999999999996" customHeight="1" x14ac:dyDescent="0.2">
      <c r="B10" s="26"/>
      <c r="C10" s="2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2" customHeight="1" x14ac:dyDescent="0.2">
      <c r="B11" s="11" t="s">
        <v>2</v>
      </c>
      <c r="C11" s="11"/>
      <c r="D11" s="11" t="s">
        <v>2</v>
      </c>
      <c r="E11" s="27" t="s">
        <v>56</v>
      </c>
      <c r="F11" s="11"/>
      <c r="G11" s="11" t="s">
        <v>2</v>
      </c>
      <c r="H11" s="11"/>
      <c r="I11" s="11" t="s">
        <v>2</v>
      </c>
      <c r="J11" s="27" t="s">
        <v>56</v>
      </c>
      <c r="K11" s="11"/>
      <c r="L11" s="11" t="s">
        <v>2</v>
      </c>
      <c r="M11" s="11" t="s">
        <v>2</v>
      </c>
      <c r="N11" s="11" t="s">
        <v>2</v>
      </c>
    </row>
    <row r="12" spans="1:14" ht="12" customHeight="1" x14ac:dyDescent="0.2">
      <c r="A12" s="24"/>
      <c r="B12" s="11" t="s">
        <v>4</v>
      </c>
      <c r="C12" s="11" t="s">
        <v>5</v>
      </c>
      <c r="D12" s="11" t="s">
        <v>6</v>
      </c>
      <c r="E12" s="27" t="s">
        <v>7</v>
      </c>
      <c r="F12" s="11"/>
      <c r="G12" s="11" t="s">
        <v>4</v>
      </c>
      <c r="H12" s="11" t="s">
        <v>5</v>
      </c>
      <c r="I12" s="11" t="s">
        <v>6</v>
      </c>
      <c r="J12" s="27" t="s">
        <v>7</v>
      </c>
      <c r="K12" s="11"/>
      <c r="L12" s="11" t="s">
        <v>4</v>
      </c>
      <c r="M12" s="11" t="s">
        <v>5</v>
      </c>
      <c r="N12" s="11" t="s">
        <v>6</v>
      </c>
    </row>
    <row r="13" spans="1:14" ht="5.0999999999999996" customHeight="1" x14ac:dyDescent="0.2">
      <c r="A13" s="19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5.0999999999999996" customHeight="1" x14ac:dyDescent="0.2">
      <c r="A14" s="28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20.100000000000001" customHeight="1" x14ac:dyDescent="0.2">
      <c r="A15" s="29" t="s">
        <v>8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</row>
    <row r="16" spans="1:14" ht="15.9" customHeight="1" x14ac:dyDescent="0.2">
      <c r="A16" s="24" t="s">
        <v>9</v>
      </c>
      <c r="B16" s="42">
        <v>4285</v>
      </c>
      <c r="C16" s="42">
        <v>4132</v>
      </c>
      <c r="D16" s="52">
        <v>8417</v>
      </c>
      <c r="E16" s="53">
        <v>49.091125104</v>
      </c>
      <c r="F16" s="54"/>
      <c r="G16" s="42">
        <v>1616</v>
      </c>
      <c r="H16" s="42">
        <v>1872</v>
      </c>
      <c r="I16" s="52">
        <v>3488</v>
      </c>
      <c r="J16" s="53">
        <v>53.669724770999998</v>
      </c>
      <c r="K16" s="55"/>
      <c r="L16" s="53">
        <v>37.712952158999997</v>
      </c>
      <c r="M16" s="53">
        <v>45.304937076000002</v>
      </c>
      <c r="N16" s="53">
        <v>41.439942973000001</v>
      </c>
    </row>
    <row r="17" spans="1:14" ht="12" customHeight="1" x14ac:dyDescent="0.2">
      <c r="A17" s="24" t="s">
        <v>24</v>
      </c>
      <c r="B17" s="42">
        <v>10968</v>
      </c>
      <c r="C17" s="42">
        <v>10864</v>
      </c>
      <c r="D17" s="52">
        <v>21832</v>
      </c>
      <c r="E17" s="53">
        <v>49.761817516000001</v>
      </c>
      <c r="F17" s="54"/>
      <c r="G17" s="42">
        <v>3889</v>
      </c>
      <c r="H17" s="42">
        <v>4589</v>
      </c>
      <c r="I17" s="52">
        <v>8478</v>
      </c>
      <c r="J17" s="53">
        <v>54.128332153999999</v>
      </c>
      <c r="K17" s="55"/>
      <c r="L17" s="53">
        <v>35.457695113</v>
      </c>
      <c r="M17" s="53">
        <v>42.240427099000001</v>
      </c>
      <c r="N17" s="53">
        <v>38.832905826000001</v>
      </c>
    </row>
    <row r="18" spans="1:14" ht="12" customHeight="1" x14ac:dyDescent="0.2">
      <c r="A18" s="24" t="s">
        <v>25</v>
      </c>
      <c r="B18" s="42">
        <v>10431</v>
      </c>
      <c r="C18" s="42">
        <v>10673</v>
      </c>
      <c r="D18" s="52">
        <v>21104</v>
      </c>
      <c r="E18" s="53">
        <v>50.573351023999997</v>
      </c>
      <c r="F18" s="54"/>
      <c r="G18" s="42">
        <v>3766</v>
      </c>
      <c r="H18" s="42">
        <v>4237</v>
      </c>
      <c r="I18" s="52">
        <v>8003</v>
      </c>
      <c r="J18" s="53">
        <v>52.942646508000003</v>
      </c>
      <c r="K18" s="55"/>
      <c r="L18" s="53">
        <v>36.103921004999997</v>
      </c>
      <c r="M18" s="53">
        <v>39.698304131999997</v>
      </c>
      <c r="N18" s="53">
        <v>37.921721001000002</v>
      </c>
    </row>
    <row r="19" spans="1:14" ht="12" customHeight="1" x14ac:dyDescent="0.2">
      <c r="A19" s="24" t="s">
        <v>30</v>
      </c>
      <c r="B19" s="42">
        <v>9270</v>
      </c>
      <c r="C19" s="42">
        <v>9776</v>
      </c>
      <c r="D19" s="52">
        <v>19046</v>
      </c>
      <c r="E19" s="53">
        <v>51.328362910999999</v>
      </c>
      <c r="F19" s="54"/>
      <c r="G19" s="42">
        <v>3608</v>
      </c>
      <c r="H19" s="42">
        <v>3976</v>
      </c>
      <c r="I19" s="52">
        <v>7584</v>
      </c>
      <c r="J19" s="53">
        <v>52.426160338000003</v>
      </c>
      <c r="K19" s="55"/>
      <c r="L19" s="53">
        <v>38.921251347999998</v>
      </c>
      <c r="M19" s="53">
        <v>40.671031096999997</v>
      </c>
      <c r="N19" s="53">
        <v>39.819384648000003</v>
      </c>
    </row>
    <row r="20" spans="1:14" ht="12" customHeight="1" x14ac:dyDescent="0.2">
      <c r="A20" s="24" t="s">
        <v>31</v>
      </c>
      <c r="B20" s="42">
        <v>8355</v>
      </c>
      <c r="C20" s="42">
        <v>9365</v>
      </c>
      <c r="D20" s="52">
        <v>17720</v>
      </c>
      <c r="E20" s="53">
        <v>52.849887133000003</v>
      </c>
      <c r="F20" s="54"/>
      <c r="G20" s="42">
        <v>3625</v>
      </c>
      <c r="H20" s="42">
        <v>3996</v>
      </c>
      <c r="I20" s="52">
        <v>7621</v>
      </c>
      <c r="J20" s="53">
        <v>52.434063770999998</v>
      </c>
      <c r="K20" s="55"/>
      <c r="L20" s="53">
        <v>43.387193297000003</v>
      </c>
      <c r="M20" s="53">
        <v>42.669514147999998</v>
      </c>
      <c r="N20" s="53">
        <v>43.007900677000002</v>
      </c>
    </row>
    <row r="21" spans="1:14" ht="15.9" customHeight="1" x14ac:dyDescent="0.2">
      <c r="A21" s="24" t="s">
        <v>32</v>
      </c>
      <c r="B21" s="42">
        <v>9131</v>
      </c>
      <c r="C21" s="42">
        <v>10627</v>
      </c>
      <c r="D21" s="52">
        <v>19758</v>
      </c>
      <c r="E21" s="53">
        <v>53.785808279999998</v>
      </c>
      <c r="F21" s="54"/>
      <c r="G21" s="42">
        <v>4316</v>
      </c>
      <c r="H21" s="42">
        <v>5005</v>
      </c>
      <c r="I21" s="52">
        <v>9321</v>
      </c>
      <c r="J21" s="53">
        <v>53.69595537</v>
      </c>
      <c r="K21" s="55"/>
      <c r="L21" s="53">
        <v>47.267550104000001</v>
      </c>
      <c r="M21" s="53">
        <v>47.097017031999997</v>
      </c>
      <c r="N21" s="53">
        <v>47.175827513000002</v>
      </c>
    </row>
    <row r="22" spans="1:14" ht="12" customHeight="1" x14ac:dyDescent="0.2">
      <c r="A22" s="24" t="s">
        <v>33</v>
      </c>
      <c r="B22" s="42">
        <v>10450</v>
      </c>
      <c r="C22" s="42">
        <v>11989</v>
      </c>
      <c r="D22" s="52">
        <v>22439</v>
      </c>
      <c r="E22" s="53">
        <v>53.429297206000001</v>
      </c>
      <c r="F22" s="54"/>
      <c r="G22" s="42">
        <v>5572</v>
      </c>
      <c r="H22" s="42">
        <v>6153</v>
      </c>
      <c r="I22" s="52">
        <v>11725</v>
      </c>
      <c r="J22" s="53">
        <v>52.477611940000003</v>
      </c>
      <c r="K22" s="55"/>
      <c r="L22" s="53">
        <v>53.320574163000003</v>
      </c>
      <c r="M22" s="53">
        <v>51.322045207999999</v>
      </c>
      <c r="N22" s="53">
        <v>52.252774187999997</v>
      </c>
    </row>
    <row r="23" spans="1:14" ht="12" customHeight="1" x14ac:dyDescent="0.2">
      <c r="A23" s="24" t="s">
        <v>34</v>
      </c>
      <c r="B23" s="42">
        <v>11079</v>
      </c>
      <c r="C23" s="42">
        <v>12891</v>
      </c>
      <c r="D23" s="52">
        <v>23970</v>
      </c>
      <c r="E23" s="53">
        <v>53.779724655999999</v>
      </c>
      <c r="F23" s="54"/>
      <c r="G23" s="42">
        <v>6324</v>
      </c>
      <c r="H23" s="42">
        <v>7152</v>
      </c>
      <c r="I23" s="52">
        <v>13476</v>
      </c>
      <c r="J23" s="53">
        <v>53.072128227999997</v>
      </c>
      <c r="K23" s="55"/>
      <c r="L23" s="53">
        <v>57.080963986</v>
      </c>
      <c r="M23" s="53">
        <v>55.480567837999999</v>
      </c>
      <c r="N23" s="53">
        <v>56.220275344000001</v>
      </c>
    </row>
    <row r="24" spans="1:14" ht="12" customHeight="1" x14ac:dyDescent="0.2">
      <c r="A24" s="24" t="s">
        <v>35</v>
      </c>
      <c r="B24" s="42">
        <v>11484</v>
      </c>
      <c r="C24" s="42">
        <v>13492</v>
      </c>
      <c r="D24" s="52">
        <v>24976</v>
      </c>
      <c r="E24" s="53">
        <v>54.019859064999999</v>
      </c>
      <c r="F24" s="54"/>
      <c r="G24" s="42">
        <v>6949</v>
      </c>
      <c r="H24" s="42">
        <v>7834</v>
      </c>
      <c r="I24" s="52">
        <v>14783</v>
      </c>
      <c r="J24" s="53">
        <v>52.993303118</v>
      </c>
      <c r="K24" s="55"/>
      <c r="L24" s="53">
        <v>60.510275165000003</v>
      </c>
      <c r="M24" s="53">
        <v>58.064037947999999</v>
      </c>
      <c r="N24" s="53">
        <v>59.188821267999998</v>
      </c>
    </row>
    <row r="25" spans="1:14" ht="12" customHeight="1" x14ac:dyDescent="0.2">
      <c r="A25" s="24" t="s">
        <v>36</v>
      </c>
      <c r="B25" s="42">
        <v>9610</v>
      </c>
      <c r="C25" s="42">
        <v>11184</v>
      </c>
      <c r="D25" s="52">
        <v>20794</v>
      </c>
      <c r="E25" s="53">
        <v>53.784745600000001</v>
      </c>
      <c r="F25" s="54"/>
      <c r="G25" s="42">
        <v>6120</v>
      </c>
      <c r="H25" s="42">
        <v>6876</v>
      </c>
      <c r="I25" s="52">
        <v>12996</v>
      </c>
      <c r="J25" s="53">
        <v>52.908587257999997</v>
      </c>
      <c r="K25" s="55"/>
      <c r="L25" s="53">
        <v>63.683662851000001</v>
      </c>
      <c r="M25" s="53">
        <v>61.480686695000003</v>
      </c>
      <c r="N25" s="53">
        <v>62.49879773</v>
      </c>
    </row>
    <row r="26" spans="1:14" ht="15.9" customHeight="1" x14ac:dyDescent="0.2">
      <c r="A26" s="24" t="s">
        <v>37</v>
      </c>
      <c r="B26" s="42">
        <v>7678</v>
      </c>
      <c r="C26" s="42">
        <v>9790</v>
      </c>
      <c r="D26" s="52">
        <v>17468</v>
      </c>
      <c r="E26" s="53">
        <v>56.04534005</v>
      </c>
      <c r="F26" s="54"/>
      <c r="G26" s="42">
        <v>5215</v>
      </c>
      <c r="H26" s="42">
        <v>6323</v>
      </c>
      <c r="I26" s="52">
        <v>11538</v>
      </c>
      <c r="J26" s="53">
        <v>54.801525394000002</v>
      </c>
      <c r="K26" s="55"/>
      <c r="L26" s="53">
        <v>67.921333680999993</v>
      </c>
      <c r="M26" s="53">
        <v>64.586312563999996</v>
      </c>
      <c r="N26" s="53">
        <v>66.052209755000007</v>
      </c>
    </row>
    <row r="27" spans="1:14" ht="12" customHeight="1" x14ac:dyDescent="0.2">
      <c r="A27" s="24" t="s">
        <v>38</v>
      </c>
      <c r="B27" s="42">
        <v>7000</v>
      </c>
      <c r="C27" s="42">
        <v>9711</v>
      </c>
      <c r="D27" s="52">
        <v>16711</v>
      </c>
      <c r="E27" s="53">
        <v>58.111423612999999</v>
      </c>
      <c r="F27" s="54"/>
      <c r="G27" s="42">
        <v>4913</v>
      </c>
      <c r="H27" s="42">
        <v>6526</v>
      </c>
      <c r="I27" s="52">
        <v>11439</v>
      </c>
      <c r="J27" s="53">
        <v>57.050441472000003</v>
      </c>
      <c r="K27" s="55"/>
      <c r="L27" s="53">
        <v>70.185714286000007</v>
      </c>
      <c r="M27" s="53">
        <v>67.202141901000005</v>
      </c>
      <c r="N27" s="53">
        <v>68.451917898000005</v>
      </c>
    </row>
    <row r="28" spans="1:14" ht="12" customHeight="1" x14ac:dyDescent="0.2">
      <c r="A28" s="24" t="s">
        <v>39</v>
      </c>
      <c r="B28" s="42">
        <v>6142</v>
      </c>
      <c r="C28" s="42">
        <v>8884</v>
      </c>
      <c r="D28" s="52">
        <v>15026</v>
      </c>
      <c r="E28" s="53">
        <v>59.124184745999997</v>
      </c>
      <c r="F28" s="54"/>
      <c r="G28" s="42">
        <v>4462</v>
      </c>
      <c r="H28" s="42">
        <v>5950</v>
      </c>
      <c r="I28" s="52">
        <v>10412</v>
      </c>
      <c r="J28" s="53">
        <v>57.145601229</v>
      </c>
      <c r="K28" s="55"/>
      <c r="L28" s="53">
        <v>72.647346141</v>
      </c>
      <c r="M28" s="53">
        <v>66.974335885000002</v>
      </c>
      <c r="N28" s="53">
        <v>69.293225077000002</v>
      </c>
    </row>
    <row r="29" spans="1:14" ht="12" customHeight="1" x14ac:dyDescent="0.2">
      <c r="A29" s="24" t="s">
        <v>40</v>
      </c>
      <c r="B29" s="42">
        <v>3901</v>
      </c>
      <c r="C29" s="42">
        <v>5889</v>
      </c>
      <c r="D29" s="52">
        <v>9790</v>
      </c>
      <c r="E29" s="53">
        <v>60.153217568999999</v>
      </c>
      <c r="F29" s="54"/>
      <c r="G29" s="42">
        <v>2741</v>
      </c>
      <c r="H29" s="42">
        <v>3509</v>
      </c>
      <c r="I29" s="52">
        <v>6250</v>
      </c>
      <c r="J29" s="53">
        <v>56.143999999999998</v>
      </c>
      <c r="K29" s="55"/>
      <c r="L29" s="53">
        <v>70.264034863000006</v>
      </c>
      <c r="M29" s="53">
        <v>59.585668194999997</v>
      </c>
      <c r="N29" s="53">
        <v>63.840653727999999</v>
      </c>
    </row>
    <row r="30" spans="1:14" ht="12" customHeight="1" x14ac:dyDescent="0.2">
      <c r="A30" s="24" t="s">
        <v>41</v>
      </c>
      <c r="B30" s="42">
        <v>2527</v>
      </c>
      <c r="C30" s="42">
        <v>4264</v>
      </c>
      <c r="D30" s="52">
        <v>6791</v>
      </c>
      <c r="E30" s="53">
        <v>62.788985422000003</v>
      </c>
      <c r="F30" s="54"/>
      <c r="G30" s="42">
        <v>1520</v>
      </c>
      <c r="H30" s="42">
        <v>2138</v>
      </c>
      <c r="I30" s="52">
        <v>3658</v>
      </c>
      <c r="J30" s="53">
        <v>58.447238927999997</v>
      </c>
      <c r="K30" s="55"/>
      <c r="L30" s="53">
        <v>60.150375940000004</v>
      </c>
      <c r="M30" s="53">
        <v>50.140712946000001</v>
      </c>
      <c r="N30" s="53">
        <v>53.865410101999998</v>
      </c>
    </row>
    <row r="31" spans="1:14" ht="12" customHeight="1" x14ac:dyDescent="0.2">
      <c r="A31" s="24" t="s">
        <v>10</v>
      </c>
      <c r="B31" s="42">
        <v>1275</v>
      </c>
      <c r="C31" s="42">
        <v>3332</v>
      </c>
      <c r="D31" s="52">
        <v>4607</v>
      </c>
      <c r="E31" s="53">
        <v>72.324723246999994</v>
      </c>
      <c r="F31" s="54"/>
      <c r="G31" s="42">
        <v>663</v>
      </c>
      <c r="H31" s="42">
        <v>1121</v>
      </c>
      <c r="I31" s="52">
        <v>1784</v>
      </c>
      <c r="J31" s="53">
        <v>62.836322869999996</v>
      </c>
      <c r="K31" s="55"/>
      <c r="L31" s="53">
        <v>52</v>
      </c>
      <c r="M31" s="53">
        <v>33.643457382999998</v>
      </c>
      <c r="N31" s="53">
        <v>38.723681354</v>
      </c>
    </row>
    <row r="32" spans="1:14" s="30" customFormat="1" ht="20.100000000000001" customHeight="1" x14ac:dyDescent="0.2">
      <c r="A32" s="31" t="s">
        <v>6</v>
      </c>
      <c r="B32" s="43">
        <v>123586</v>
      </c>
      <c r="C32" s="43">
        <v>146863</v>
      </c>
      <c r="D32" s="43">
        <v>270449</v>
      </c>
      <c r="E32" s="44">
        <v>54.303399161999998</v>
      </c>
      <c r="F32" s="45"/>
      <c r="G32" s="43">
        <v>65299</v>
      </c>
      <c r="H32" s="43">
        <v>77257</v>
      </c>
      <c r="I32" s="43">
        <v>142556</v>
      </c>
      <c r="J32" s="44">
        <v>54.194141250000001</v>
      </c>
      <c r="K32" s="46"/>
      <c r="L32" s="44">
        <v>52.836890910000001</v>
      </c>
      <c r="M32" s="44">
        <v>52.604808562999999</v>
      </c>
      <c r="N32" s="44">
        <v>52.710862306999999</v>
      </c>
    </row>
    <row r="33" spans="1:14" ht="15.9" customHeight="1" x14ac:dyDescent="0.2">
      <c r="A33" s="24" t="s">
        <v>11</v>
      </c>
      <c r="B33" s="42">
        <v>43309</v>
      </c>
      <c r="C33" s="42">
        <v>44810</v>
      </c>
      <c r="D33" s="52">
        <v>88119</v>
      </c>
      <c r="E33" s="53">
        <v>50.851689192999999</v>
      </c>
      <c r="F33" s="54"/>
      <c r="G33" s="42">
        <v>16504</v>
      </c>
      <c r="H33" s="42">
        <v>18670</v>
      </c>
      <c r="I33" s="52">
        <v>35174</v>
      </c>
      <c r="J33" s="53">
        <v>53.078978790999997</v>
      </c>
      <c r="K33" s="55"/>
      <c r="L33" s="53">
        <v>38.107552703000003</v>
      </c>
      <c r="M33" s="53">
        <v>41.664806962999997</v>
      </c>
      <c r="N33" s="53">
        <v>39.916476582999998</v>
      </c>
    </row>
    <row r="34" spans="1:14" ht="12" customHeight="1" x14ac:dyDescent="0.2">
      <c r="A34" s="24" t="s">
        <v>12</v>
      </c>
      <c r="B34" s="42">
        <v>51754</v>
      </c>
      <c r="C34" s="42">
        <v>60183</v>
      </c>
      <c r="D34" s="52">
        <v>111937</v>
      </c>
      <c r="E34" s="53">
        <v>53.765064277</v>
      </c>
      <c r="F34" s="54"/>
      <c r="G34" s="42">
        <v>29281</v>
      </c>
      <c r="H34" s="42">
        <v>33020</v>
      </c>
      <c r="I34" s="52">
        <v>62301</v>
      </c>
      <c r="J34" s="53">
        <v>53.000754401999998</v>
      </c>
      <c r="K34" s="55"/>
      <c r="L34" s="53">
        <v>56.577269389999998</v>
      </c>
      <c r="M34" s="53">
        <v>54.865992058000003</v>
      </c>
      <c r="N34" s="53">
        <v>55.657200031999999</v>
      </c>
    </row>
    <row r="35" spans="1:14" ht="12" customHeight="1" x14ac:dyDescent="0.2">
      <c r="A35" s="24" t="s">
        <v>13</v>
      </c>
      <c r="B35" s="42">
        <v>28523</v>
      </c>
      <c r="C35" s="42">
        <v>41870</v>
      </c>
      <c r="D35" s="52">
        <v>70393</v>
      </c>
      <c r="E35" s="53">
        <v>59.480346056999998</v>
      </c>
      <c r="F35" s="54"/>
      <c r="G35" s="42">
        <v>19514</v>
      </c>
      <c r="H35" s="42">
        <v>25567</v>
      </c>
      <c r="I35" s="52">
        <v>45081</v>
      </c>
      <c r="J35" s="53">
        <v>56.713471306999999</v>
      </c>
      <c r="K35" s="55"/>
      <c r="L35" s="53">
        <v>68.414963362999998</v>
      </c>
      <c r="M35" s="53">
        <v>61.062813470000002</v>
      </c>
      <c r="N35" s="53">
        <v>64.041879163999994</v>
      </c>
    </row>
    <row r="36" spans="1:14" ht="20.100000000000001" customHeight="1" x14ac:dyDescent="0.2">
      <c r="A36" s="32" t="s">
        <v>44</v>
      </c>
      <c r="B36" s="47"/>
      <c r="C36" s="47"/>
      <c r="D36" s="47"/>
      <c r="E36" s="48"/>
      <c r="F36" s="47"/>
      <c r="G36" s="47"/>
      <c r="H36" s="47"/>
      <c r="I36" s="47"/>
      <c r="J36" s="53"/>
      <c r="K36" s="55"/>
      <c r="L36" s="53"/>
      <c r="M36" s="53"/>
      <c r="N36" s="53"/>
    </row>
    <row r="37" spans="1:14" ht="15.9" customHeight="1" x14ac:dyDescent="0.2">
      <c r="A37" s="24" t="s">
        <v>14</v>
      </c>
      <c r="B37" s="42">
        <v>44179</v>
      </c>
      <c r="C37" s="42">
        <v>44818</v>
      </c>
      <c r="D37" s="52">
        <v>88997</v>
      </c>
      <c r="E37" s="53">
        <v>50.359000864999999</v>
      </c>
      <c r="F37" s="54"/>
      <c r="G37" s="42">
        <v>19055</v>
      </c>
      <c r="H37" s="42">
        <v>21877</v>
      </c>
      <c r="I37" s="52">
        <v>40932</v>
      </c>
      <c r="J37" s="53">
        <v>53.447180690000003</v>
      </c>
      <c r="K37" s="55"/>
      <c r="L37" s="53">
        <v>43.131352</v>
      </c>
      <c r="M37" s="53">
        <v>48.812976929000001</v>
      </c>
      <c r="N37" s="53">
        <v>45.992561547000001</v>
      </c>
    </row>
    <row r="38" spans="1:14" ht="12" customHeight="1" x14ac:dyDescent="0.2">
      <c r="A38" s="24" t="s">
        <v>15</v>
      </c>
      <c r="B38" s="42">
        <v>51718</v>
      </c>
      <c r="C38" s="42">
        <v>52426</v>
      </c>
      <c r="D38" s="52">
        <v>104144</v>
      </c>
      <c r="E38" s="53">
        <v>50.339913965000001</v>
      </c>
      <c r="F38" s="54"/>
      <c r="G38" s="42">
        <v>34044</v>
      </c>
      <c r="H38" s="42">
        <v>33130</v>
      </c>
      <c r="I38" s="52">
        <v>67174</v>
      </c>
      <c r="J38" s="53">
        <v>49.319677255999999</v>
      </c>
      <c r="K38" s="55"/>
      <c r="L38" s="53">
        <v>65.826211377000007</v>
      </c>
      <c r="M38" s="53">
        <v>63.193835120000003</v>
      </c>
      <c r="N38" s="53">
        <v>64.501075434000001</v>
      </c>
    </row>
    <row r="39" spans="1:14" ht="12" customHeight="1" x14ac:dyDescent="0.2">
      <c r="A39" s="24" t="s">
        <v>16</v>
      </c>
      <c r="B39" s="42">
        <v>2579</v>
      </c>
      <c r="C39" s="42">
        <v>12204</v>
      </c>
      <c r="D39" s="52">
        <v>14783</v>
      </c>
      <c r="E39" s="53">
        <v>82.554285328000006</v>
      </c>
      <c r="F39" s="54"/>
      <c r="G39" s="42">
        <v>1599</v>
      </c>
      <c r="H39" s="42">
        <v>6264</v>
      </c>
      <c r="I39" s="52">
        <v>7863</v>
      </c>
      <c r="J39" s="53">
        <v>79.664250285999998</v>
      </c>
      <c r="K39" s="55"/>
      <c r="L39" s="53">
        <v>62.000775494000003</v>
      </c>
      <c r="M39" s="53">
        <v>51.327433628000001</v>
      </c>
      <c r="N39" s="53">
        <v>53.189474396000001</v>
      </c>
    </row>
    <row r="40" spans="1:14" ht="12" customHeight="1" x14ac:dyDescent="0.2">
      <c r="A40" s="24" t="s">
        <v>17</v>
      </c>
      <c r="B40" s="42">
        <v>10879</v>
      </c>
      <c r="C40" s="42">
        <v>21075</v>
      </c>
      <c r="D40" s="52">
        <v>31954</v>
      </c>
      <c r="E40" s="53">
        <v>65.954184139999995</v>
      </c>
      <c r="F40" s="54"/>
      <c r="G40" s="42">
        <v>6082</v>
      </c>
      <c r="H40" s="42">
        <v>11005</v>
      </c>
      <c r="I40" s="52">
        <v>17087</v>
      </c>
      <c r="J40" s="53">
        <v>64.405688534999996</v>
      </c>
      <c r="K40" s="55"/>
      <c r="L40" s="53">
        <v>55.905873702000001</v>
      </c>
      <c r="M40" s="53">
        <v>52.218268090000002</v>
      </c>
      <c r="N40" s="53">
        <v>53.473743505999998</v>
      </c>
    </row>
    <row r="41" spans="1:14" ht="12" customHeight="1" x14ac:dyDescent="0.2">
      <c r="A41" s="24" t="s">
        <v>45</v>
      </c>
      <c r="B41" s="42">
        <v>650</v>
      </c>
      <c r="C41" s="42">
        <v>391</v>
      </c>
      <c r="D41" s="52">
        <v>1041</v>
      </c>
      <c r="E41" s="53">
        <v>37.560038425000002</v>
      </c>
      <c r="F41" s="54"/>
      <c r="G41" s="42">
        <v>502</v>
      </c>
      <c r="H41" s="42">
        <v>281</v>
      </c>
      <c r="I41" s="52">
        <v>783</v>
      </c>
      <c r="J41" s="53">
        <v>35.887611749999998</v>
      </c>
      <c r="K41" s="55"/>
      <c r="L41" s="53">
        <v>77.230769230999996</v>
      </c>
      <c r="M41" s="53">
        <v>71.867007673000003</v>
      </c>
      <c r="N41" s="53">
        <v>75.216138329000003</v>
      </c>
    </row>
    <row r="42" spans="1:14" ht="20.100000000000001" customHeight="1" x14ac:dyDescent="0.2">
      <c r="A42" s="32" t="s">
        <v>46</v>
      </c>
      <c r="B42" s="47"/>
      <c r="C42" s="47"/>
      <c r="D42" s="47"/>
      <c r="E42" s="48"/>
      <c r="F42" s="47"/>
      <c r="G42" s="47"/>
      <c r="H42" s="47"/>
      <c r="I42" s="47"/>
      <c r="J42" s="48"/>
      <c r="K42" s="55"/>
      <c r="L42" s="53"/>
      <c r="M42" s="53"/>
      <c r="N42" s="53"/>
    </row>
    <row r="43" spans="1:14" ht="15.9" customHeight="1" x14ac:dyDescent="0.2">
      <c r="A43" s="24" t="s">
        <v>18</v>
      </c>
      <c r="B43" s="42">
        <v>68952</v>
      </c>
      <c r="C43" s="42">
        <v>83964</v>
      </c>
      <c r="D43" s="52">
        <v>152916</v>
      </c>
      <c r="E43" s="53">
        <v>54.908577258000001</v>
      </c>
      <c r="F43" s="54"/>
      <c r="G43" s="42">
        <v>38328</v>
      </c>
      <c r="H43" s="42">
        <v>47013</v>
      </c>
      <c r="I43" s="52">
        <v>85341</v>
      </c>
      <c r="J43" s="53">
        <v>55.088410025999998</v>
      </c>
      <c r="K43" s="55"/>
      <c r="L43" s="53">
        <v>55.586494952999999</v>
      </c>
      <c r="M43" s="53">
        <v>55.991853652000003</v>
      </c>
      <c r="N43" s="53">
        <v>55.809071647000003</v>
      </c>
    </row>
    <row r="44" spans="1:14" ht="12" customHeight="1" x14ac:dyDescent="0.2">
      <c r="A44" s="24" t="s">
        <v>19</v>
      </c>
      <c r="B44" s="42">
        <v>41053</v>
      </c>
      <c r="C44" s="42">
        <v>46950</v>
      </c>
      <c r="D44" s="52">
        <v>88003</v>
      </c>
      <c r="E44" s="53">
        <v>53.350453962000003</v>
      </c>
      <c r="F44" s="54"/>
      <c r="G44" s="42">
        <v>22954</v>
      </c>
      <c r="H44" s="42">
        <v>25544</v>
      </c>
      <c r="I44" s="52">
        <v>48498</v>
      </c>
      <c r="J44" s="53">
        <v>52.670213205000003</v>
      </c>
      <c r="K44" s="55"/>
      <c r="L44" s="53">
        <v>55.913087959000002</v>
      </c>
      <c r="M44" s="53">
        <v>54.406815760999997</v>
      </c>
      <c r="N44" s="53">
        <v>55.109484903999999</v>
      </c>
    </row>
    <row r="45" spans="1:14" ht="20.100000000000001" customHeight="1" x14ac:dyDescent="0.2">
      <c r="A45" s="32" t="s">
        <v>47</v>
      </c>
      <c r="B45" s="56"/>
      <c r="C45" s="56"/>
      <c r="D45" s="54"/>
      <c r="E45" s="53"/>
      <c r="F45" s="56"/>
      <c r="G45" s="56"/>
      <c r="H45" s="56"/>
      <c r="I45" s="54"/>
      <c r="J45" s="53"/>
      <c r="K45" s="55"/>
      <c r="L45" s="53"/>
      <c r="M45" s="53"/>
      <c r="N45" s="53"/>
    </row>
    <row r="46" spans="1:14" ht="15.9" customHeight="1" x14ac:dyDescent="0.2">
      <c r="A46" s="24" t="s">
        <v>20</v>
      </c>
      <c r="B46" s="42">
        <v>5800</v>
      </c>
      <c r="C46" s="42">
        <v>5814</v>
      </c>
      <c r="D46" s="52">
        <v>11614</v>
      </c>
      <c r="E46" s="53">
        <v>50.060272085000001</v>
      </c>
      <c r="F46" s="54"/>
      <c r="G46" s="42">
        <v>2614</v>
      </c>
      <c r="H46" s="42">
        <v>2699</v>
      </c>
      <c r="I46" s="52">
        <v>5313</v>
      </c>
      <c r="J46" s="53">
        <v>50.799924713000003</v>
      </c>
      <c r="K46" s="55"/>
      <c r="L46" s="53">
        <v>45.068965517000002</v>
      </c>
      <c r="M46" s="53">
        <v>46.422428621000002</v>
      </c>
      <c r="N46" s="53">
        <v>45.746512828999997</v>
      </c>
    </row>
    <row r="47" spans="1:14" ht="12" customHeight="1" x14ac:dyDescent="0.2">
      <c r="A47" s="24" t="s">
        <v>21</v>
      </c>
      <c r="B47" s="42">
        <v>5821</v>
      </c>
      <c r="C47" s="42">
        <v>6360</v>
      </c>
      <c r="D47" s="52">
        <v>12181</v>
      </c>
      <c r="E47" s="53">
        <v>52.212462031000001</v>
      </c>
      <c r="F47" s="54"/>
      <c r="G47" s="42">
        <v>2923</v>
      </c>
      <c r="H47" s="42">
        <v>3078</v>
      </c>
      <c r="I47" s="52">
        <v>6001</v>
      </c>
      <c r="J47" s="53">
        <v>51.291451424999998</v>
      </c>
      <c r="K47" s="55"/>
      <c r="L47" s="53">
        <v>50.214739735000002</v>
      </c>
      <c r="M47" s="53">
        <v>48.396226415000001</v>
      </c>
      <c r="N47" s="53">
        <v>49.265249159</v>
      </c>
    </row>
    <row r="48" spans="1:14" ht="12" customHeight="1" x14ac:dyDescent="0.2">
      <c r="A48" s="24" t="s">
        <v>22</v>
      </c>
      <c r="B48" s="42">
        <v>5515</v>
      </c>
      <c r="C48" s="42">
        <v>6623</v>
      </c>
      <c r="D48" s="52">
        <v>12138</v>
      </c>
      <c r="E48" s="53">
        <v>54.564178613000003</v>
      </c>
      <c r="F48" s="54"/>
      <c r="G48" s="42">
        <v>2975</v>
      </c>
      <c r="H48" s="42">
        <v>3448</v>
      </c>
      <c r="I48" s="52">
        <v>6423</v>
      </c>
      <c r="J48" s="53">
        <v>53.682080024999998</v>
      </c>
      <c r="K48" s="55"/>
      <c r="L48" s="53">
        <v>53.943789664999997</v>
      </c>
      <c r="M48" s="53">
        <v>52.060999547000002</v>
      </c>
      <c r="N48" s="53">
        <v>52.916460702000002</v>
      </c>
    </row>
    <row r="49" spans="1:14" ht="12" customHeight="1" x14ac:dyDescent="0.2">
      <c r="A49" s="24" t="s">
        <v>23</v>
      </c>
      <c r="B49" s="42">
        <v>8598</v>
      </c>
      <c r="C49" s="42">
        <v>9929</v>
      </c>
      <c r="D49" s="52">
        <v>18527</v>
      </c>
      <c r="E49" s="53">
        <v>53.592054838999999</v>
      </c>
      <c r="F49" s="54"/>
      <c r="G49" s="42">
        <v>4535</v>
      </c>
      <c r="H49" s="42">
        <v>5317</v>
      </c>
      <c r="I49" s="52">
        <v>9852</v>
      </c>
      <c r="J49" s="53">
        <v>53.968737312000002</v>
      </c>
      <c r="K49" s="55"/>
      <c r="L49" s="53">
        <v>52.744824377999997</v>
      </c>
      <c r="M49" s="53">
        <v>53.550206465999999</v>
      </c>
      <c r="N49" s="53">
        <v>53.176445188000002</v>
      </c>
    </row>
    <row r="50" spans="1:14" ht="15.9" customHeight="1" x14ac:dyDescent="0.2">
      <c r="A50" s="24" t="s">
        <v>24</v>
      </c>
      <c r="B50" s="42">
        <v>14330</v>
      </c>
      <c r="C50" s="42">
        <v>16123</v>
      </c>
      <c r="D50" s="52">
        <v>30453</v>
      </c>
      <c r="E50" s="53">
        <v>52.943880733999997</v>
      </c>
      <c r="F50" s="54"/>
      <c r="G50" s="42">
        <v>6639</v>
      </c>
      <c r="H50" s="42">
        <v>8163</v>
      </c>
      <c r="I50" s="52">
        <v>14802</v>
      </c>
      <c r="J50" s="53">
        <v>55.147952979000003</v>
      </c>
      <c r="K50" s="55"/>
      <c r="L50" s="53">
        <v>46.329378925</v>
      </c>
      <c r="M50" s="53">
        <v>50.629535445999998</v>
      </c>
      <c r="N50" s="53">
        <v>48.606048665000003</v>
      </c>
    </row>
    <row r="51" spans="1:14" ht="12" customHeight="1" x14ac:dyDescent="0.2">
      <c r="A51" s="24" t="s">
        <v>25</v>
      </c>
      <c r="B51" s="42">
        <v>12656</v>
      </c>
      <c r="C51" s="42">
        <v>14246</v>
      </c>
      <c r="D51" s="52">
        <v>26902</v>
      </c>
      <c r="E51" s="53">
        <v>52.955170619</v>
      </c>
      <c r="F51" s="54"/>
      <c r="G51" s="42">
        <v>5792</v>
      </c>
      <c r="H51" s="42">
        <v>6956</v>
      </c>
      <c r="I51" s="52">
        <v>12748</v>
      </c>
      <c r="J51" s="53">
        <v>54.565422026999997</v>
      </c>
      <c r="K51" s="55"/>
      <c r="L51" s="53">
        <v>45.764854614000001</v>
      </c>
      <c r="M51" s="53">
        <v>48.827741119999999</v>
      </c>
      <c r="N51" s="53">
        <v>47.386811389000002</v>
      </c>
    </row>
    <row r="52" spans="1:14" ht="12" customHeight="1" x14ac:dyDescent="0.2">
      <c r="A52" s="24" t="s">
        <v>26</v>
      </c>
      <c r="B52" s="42">
        <v>57104</v>
      </c>
      <c r="C52" s="42">
        <v>71228</v>
      </c>
      <c r="D52" s="52">
        <v>128332</v>
      </c>
      <c r="E52" s="53">
        <v>55.502914316000002</v>
      </c>
      <c r="F52" s="54"/>
      <c r="G52" s="42">
        <v>35687</v>
      </c>
      <c r="H52" s="42">
        <v>42608</v>
      </c>
      <c r="I52" s="52">
        <v>78295</v>
      </c>
      <c r="J52" s="53">
        <v>54.419822465999999</v>
      </c>
      <c r="K52" s="55"/>
      <c r="L52" s="53">
        <v>62.494746427999999</v>
      </c>
      <c r="M52" s="53">
        <v>59.819172236</v>
      </c>
      <c r="N52" s="53">
        <v>61.009724775999999</v>
      </c>
    </row>
    <row r="53" spans="1:14" ht="12" customHeight="1" x14ac:dyDescent="0.2">
      <c r="A53" s="24" t="s">
        <v>27</v>
      </c>
      <c r="B53" s="42">
        <v>181</v>
      </c>
      <c r="C53" s="42">
        <v>591</v>
      </c>
      <c r="D53" s="52">
        <v>772</v>
      </c>
      <c r="E53" s="53">
        <v>76.554404145000007</v>
      </c>
      <c r="F53" s="54"/>
      <c r="G53" s="42">
        <v>117</v>
      </c>
      <c r="H53" s="42">
        <v>288</v>
      </c>
      <c r="I53" s="52">
        <v>405</v>
      </c>
      <c r="J53" s="53">
        <v>71.111111111</v>
      </c>
      <c r="K53" s="55"/>
      <c r="L53" s="53">
        <v>64.640883978000005</v>
      </c>
      <c r="M53" s="53">
        <v>48.730964467</v>
      </c>
      <c r="N53" s="53">
        <v>52.461139895999999</v>
      </c>
    </row>
    <row r="54" spans="1:14" ht="20.100000000000001" customHeight="1" x14ac:dyDescent="0.2">
      <c r="A54" s="31" t="s">
        <v>6</v>
      </c>
      <c r="B54" s="47">
        <v>110005</v>
      </c>
      <c r="C54" s="47">
        <v>130914</v>
      </c>
      <c r="D54" s="47">
        <v>240919</v>
      </c>
      <c r="E54" s="49">
        <v>54.339425284000001</v>
      </c>
      <c r="F54" s="47"/>
      <c r="G54" s="47">
        <v>61282</v>
      </c>
      <c r="H54" s="47">
        <v>72557</v>
      </c>
      <c r="I54" s="47">
        <v>133839</v>
      </c>
      <c r="J54" s="49">
        <v>54.210844858999998</v>
      </c>
      <c r="K54" s="50"/>
      <c r="L54" s="51">
        <v>55.707467842</v>
      </c>
      <c r="M54" s="51">
        <v>55.419588431999998</v>
      </c>
      <c r="N54" s="51">
        <v>55.551035825</v>
      </c>
    </row>
    <row r="55" spans="1:14" ht="12" customHeight="1" x14ac:dyDescent="0.2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33"/>
      <c r="M55" s="33"/>
      <c r="N55" s="33"/>
    </row>
    <row r="56" spans="1:14" ht="12" customHeight="1" x14ac:dyDescent="0.2">
      <c r="A56" s="40" t="s">
        <v>48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33"/>
      <c r="M56" s="33"/>
      <c r="N56" s="33"/>
    </row>
    <row r="57" spans="1:14" ht="12" customHeight="1" x14ac:dyDescent="0.2">
      <c r="A57" s="40" t="s">
        <v>49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33"/>
      <c r="M57" s="33"/>
      <c r="N57" s="33"/>
    </row>
    <row r="58" spans="1:14" ht="15.9" customHeight="1" x14ac:dyDescent="0.2">
      <c r="A58" s="34" t="s">
        <v>28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6"/>
      <c r="N58" s="38" t="s">
        <v>53</v>
      </c>
    </row>
    <row r="59" spans="1:14" ht="5.0999999999999996" customHeight="1" x14ac:dyDescent="0.2">
      <c r="A59" s="3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</sheetData>
  <pageMargins left="0.59055118110236227" right="0.59055118110236227" top="0.98425196850393704" bottom="0.59055118110236227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28_novembre_2021</vt:lpstr>
      <vt:lpstr>26_septembre_2021</vt:lpstr>
      <vt:lpstr>13_juin_2021</vt:lpstr>
      <vt:lpstr>7_mars_2021</vt:lpstr>
    </vt:vector>
  </TitlesOfParts>
  <Company>Etat de Genève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DEFAVERIP</dc:creator>
  <cp:lastModifiedBy>Massocco Tatiana (DF)</cp:lastModifiedBy>
  <cp:lastPrinted>2019-12-09T13:15:42Z</cp:lastPrinted>
  <dcterms:created xsi:type="dcterms:W3CDTF">2006-07-28T13:35:14Z</dcterms:created>
  <dcterms:modified xsi:type="dcterms:W3CDTF">2026-01-19T10:39:12Z</dcterms:modified>
</cp:coreProperties>
</file>